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aper\Benchmark_Paper\benchmark_model\"/>
    </mc:Choice>
  </mc:AlternateContent>
  <xr:revisionPtr revIDLastSave="0" documentId="13_ncr:1_{9F867C7B-30C2-451C-A2DE-A8A99FC03124}" xr6:coauthVersionLast="47" xr6:coauthVersionMax="47" xr10:uidLastSave="{00000000-0000-0000-0000-000000000000}"/>
  <bookViews>
    <workbookView xWindow="-120" yWindow="-120" windowWidth="38640" windowHeight="21240" xr2:uid="{7E12CD9D-029E-436E-AC77-6DDF1918097E}"/>
  </bookViews>
  <sheets>
    <sheet name="vehicle database" sheetId="1" r:id="rId1"/>
    <sheet name="additional informati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1" l="1"/>
  <c r="D58" i="1"/>
  <c r="C58" i="1" l="1"/>
  <c r="C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Moritz Fundel</author>
    <author>Microsoft Office User</author>
    <author>tc={71BAA50F-5EB5-43A3-9D6F-D12D45F47E64}</author>
    <author>Simon Bogdan</author>
  </authors>
  <commentList>
    <comment ref="D56" authorId="0" shapeId="0" xr:uid="{4D0B9222-08CA-4D92-AD0D-94F5120C4A44}">
      <text>
        <r>
          <rPr>
            <sz val="9"/>
            <color indexed="81"/>
            <rFont val="Segoe UI"/>
            <family val="2"/>
          </rPr>
          <t>Keine Origianlausstattung bei Reifengrößen.de</t>
        </r>
      </text>
    </comment>
    <comment ref="D57" authorId="0" shapeId="0" xr:uid="{EB561B4F-C7F0-4648-A0C2-3F92F078EF35}">
      <text>
        <r>
          <rPr>
            <sz val="9"/>
            <color indexed="81"/>
            <rFont val="Segoe UI"/>
            <family val="2"/>
          </rPr>
          <t>Keine Originalaustattung bei Reifengrößen.de</t>
        </r>
      </text>
    </comment>
    <comment ref="D62" authorId="1" shapeId="0" xr:uid="{3A6AD09F-2D34-4FD8-A6DD-E3E6249A7128}">
      <text>
        <r>
          <rPr>
            <sz val="10"/>
            <color rgb="FF000000"/>
            <rFont val="Tahoma"/>
            <family val="2"/>
          </rPr>
          <t>https://www.youtube.com/watch?v=wDsZ40DZVa4&amp;t=950</t>
        </r>
      </text>
    </comment>
    <comment ref="D63" authorId="1" shapeId="0" xr:uid="{0F9C20CC-8903-4345-9EE1-543127856578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Packmaße: 1362,7x1300,4x140,6mm
</t>
        </r>
        <r>
          <rPr>
            <sz val="10"/>
            <color rgb="FF000000"/>
            <rFont val="Tahoma"/>
            <family val="2"/>
          </rPr>
          <t xml:space="preserve">Zellmaße: 584x97x9mm
</t>
        </r>
        <r>
          <rPr>
            <sz val="10"/>
            <color rgb="FF000000"/>
            <rFont val="Tahoma"/>
            <family val="2"/>
          </rPr>
          <t xml:space="preserve">Spannung 2,7 - 4,2 V (108s2p)
</t>
        </r>
        <r>
          <rPr>
            <sz val="10"/>
            <color rgb="FF000000"/>
            <rFont val="Tahoma"/>
            <family val="2"/>
          </rPr>
          <t xml:space="preserve">Gesamtzellen 216
</t>
        </r>
        <r>
          <rPr>
            <sz val="10"/>
            <color rgb="FF000000"/>
            <rFont val="Tahoma"/>
            <family val="2"/>
          </rPr>
          <t>Anzahl Zellen in x = 120 (96) rechts fehlt ein Modul / y = 2</t>
        </r>
      </text>
    </comment>
    <comment ref="C75" authorId="1" shapeId="0" xr:uid="{10A6644B-9AF3-4701-86F2-70316538E88F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Performance 2022: MOSFET (https://tff-forum.de/t/wiki-model-3-model-y-technische-veraenderungen/100784/1255?page=9)</t>
        </r>
      </text>
    </comment>
    <comment ref="D75" authorId="1" shapeId="0" xr:uid="{B93A8F1C-9292-4BF3-AC1C-25FD9255F792}">
      <text>
        <r>
          <rPr>
            <b/>
            <sz val="10"/>
            <color rgb="FF000000"/>
            <rFont val="Tahoma"/>
            <family val="2"/>
          </rPr>
          <t>Quelle: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https://www.fka.de/de/kompetenzen/benchmarking/vw-id3.html</t>
        </r>
      </text>
    </comment>
    <comment ref="D79" authorId="2" shapeId="0" xr:uid="{71BAA50F-5EB5-43A3-9D6F-D12D45F47E64}">
      <text>
        <r>
          <rPr>
            <sz val="11"/>
            <color theme="1"/>
            <rFont val="Calibri"/>
            <family val="2"/>
            <scheme val="minor"/>
          </rPr>
  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Neueres Modells als von uns angeschaut</t>
        </r>
      </text>
    </comment>
    <comment ref="C115" authorId="3" shapeId="0" xr:uid="{CF120558-FBCC-470D-A9B6-0F76A7DE34B9}">
      <text>
        <r>
          <rPr>
            <b/>
            <sz val="9"/>
            <color indexed="81"/>
            <rFont val="Segoe UI"/>
            <family val="2"/>
          </rPr>
          <t>Simon Bogdan:</t>
        </r>
        <r>
          <rPr>
            <sz val="9"/>
            <color indexed="81"/>
            <rFont val="Segoe UI"/>
            <family val="2"/>
          </rPr>
          <t xml:space="preserve">
Testbereifung
235/40 R 19 W / 235/40 R 19 W 
https://www.auto-motor-und-sport.de/test/bmw-330e-tesla-model3/technische-daten/</t>
        </r>
      </text>
    </comment>
    <comment ref="D115" authorId="3" shapeId="0" xr:uid="{8E29FEF3-137B-49FD-A4FA-DBBFC992133A}">
      <text>
        <r>
          <rPr>
            <b/>
            <sz val="9"/>
            <color indexed="81"/>
            <rFont val="Segoe UI"/>
            <family val="2"/>
          </rPr>
          <t>Simon Bogdan:</t>
        </r>
        <r>
          <rPr>
            <sz val="9"/>
            <color indexed="81"/>
            <rFont val="Segoe UI"/>
            <family val="2"/>
          </rPr>
          <t xml:space="preserve">
Testbereifung 215/45 R 20 T / 215/40 R 20 T
https://www.auto-motor-und-sport.de/test/vw-id-3-pro-performance-1st-max-test/technische-daten/</t>
        </r>
      </text>
    </comment>
  </commentList>
</comments>
</file>

<file path=xl/sharedStrings.xml><?xml version="1.0" encoding="utf-8"?>
<sst xmlns="http://schemas.openxmlformats.org/spreadsheetml/2006/main" count="329" uniqueCount="274">
  <si>
    <t>Database of Benchmarking Vehicles</t>
  </si>
  <si>
    <t>Vehicle</t>
  </si>
  <si>
    <t>Tesla Model 3</t>
  </si>
  <si>
    <t>Link to ADAC-Database</t>
  </si>
  <si>
    <t>Tesla Model 3 Standard Range Plus</t>
  </si>
  <si>
    <t>Vehicle Dimensions</t>
  </si>
  <si>
    <t>Description</t>
  </si>
  <si>
    <t>vehicle.Input.vehicle_width</t>
  </si>
  <si>
    <t>width of vehicle without mirrors</t>
  </si>
  <si>
    <t>vehicle.Input.vehicle_height</t>
  </si>
  <si>
    <t>height of vehicle</t>
  </si>
  <si>
    <t>wheelbase</t>
  </si>
  <si>
    <t>vehicle.Input.L113</t>
  </si>
  <si>
    <t>distance front axle &lt;--&gt; BOF</t>
  </si>
  <si>
    <t>vehicle.Input.H30</t>
  </si>
  <si>
    <t>seat height 1st row (SgRP&lt;--&gt;AHP)</t>
  </si>
  <si>
    <t>vehicle.Input.H30_2</t>
  </si>
  <si>
    <t>seat height 2nd row (SgRP&lt;--&gt;AHP)</t>
  </si>
  <si>
    <t>vehicle.Input.overhang_front</t>
  </si>
  <si>
    <t>front overhang</t>
  </si>
  <si>
    <t>vehicle.Input.overhang_rear</t>
  </si>
  <si>
    <t>rear overhang</t>
  </si>
  <si>
    <t>vehicle.Input.number_of_seats</t>
  </si>
  <si>
    <t>number of seats</t>
  </si>
  <si>
    <t>vehicle.Input.frameform</t>
  </si>
  <si>
    <t>Sedan / Hatchback / SUV</t>
  </si>
  <si>
    <t>Sedan</t>
  </si>
  <si>
    <t>vehicle.Input.H156</t>
  </si>
  <si>
    <t>-</t>
  </si>
  <si>
    <t>Vehicle Weights</t>
  </si>
  <si>
    <t>vehicle.Input.vehicle_empty_weight</t>
  </si>
  <si>
    <t>empty weight of vehicle WITHOUT driver</t>
  </si>
  <si>
    <t>vehicle.Input.vehicle_payload</t>
  </si>
  <si>
    <t>vehicle payload PLUS driver</t>
  </si>
  <si>
    <t>vehicle.masses.optional_extras.front_repartition</t>
  </si>
  <si>
    <t>weight distribution (front percentage)</t>
  </si>
  <si>
    <t>vehicle.masses.optional_extras.doors_number</t>
  </si>
  <si>
    <t>number of passenger doors</t>
  </si>
  <si>
    <t>vehicle.masses.optional_extras.doors_material</t>
  </si>
  <si>
    <t>material of doors (alu/steel/plastic)</t>
  </si>
  <si>
    <t>alu</t>
  </si>
  <si>
    <t>vehicle.masses.optional_extras.hood_material</t>
  </si>
  <si>
    <t>material of hood (alu/steel/plastic)</t>
  </si>
  <si>
    <t>vehicle.masses.optional_extras.tailgate_material</t>
  </si>
  <si>
    <t>material of tailgate (alu/steel/plastic)</t>
  </si>
  <si>
    <t>steel</t>
  </si>
  <si>
    <t>vehicle.masses.optional_extras.fenders_material</t>
  </si>
  <si>
    <t>material of fenders (alu/steel/plastic)</t>
  </si>
  <si>
    <t>vehicle.masses.optional_extras.alu_perc_BIW</t>
  </si>
  <si>
    <t>aluminium percentage of body-in-white</t>
  </si>
  <si>
    <t>Performance and Cycle</t>
  </si>
  <si>
    <t>vehicle.Input.power_auxiliaries</t>
  </si>
  <si>
    <t>power consumption of auxiliaries</t>
  </si>
  <si>
    <t>Topology and Machines</t>
  </si>
  <si>
    <t>vehicle.Input.topology</t>
  </si>
  <si>
    <t>topology of powertrain</t>
  </si>
  <si>
    <t>X_GM</t>
  </si>
  <si>
    <t>orientation of front machine (-1 = behind axle, 0 = coaxial, 1 = in front axle)</t>
  </si>
  <si>
    <t>orientation of rear machine (-1 = behind axle, 0 = coaxial, 1 = in front axle)</t>
  </si>
  <si>
    <t>vehicle.Input.machine_type_f</t>
  </si>
  <si>
    <t>front machine type (PSM / ASM / FSM)</t>
  </si>
  <si>
    <t>vehicle.Input.machine_type_r</t>
  </si>
  <si>
    <t>rear machine type (PSM / ASM / FSM)</t>
  </si>
  <si>
    <t>PSM</t>
  </si>
  <si>
    <t>gearbox type at front axle (lay-shaft / planetary)</t>
  </si>
  <si>
    <t>gearbox type at rear axle (lay-shaft / planetary)</t>
  </si>
  <si>
    <t>lay-shaft</t>
  </si>
  <si>
    <t>design of gearbox axles at front axle (parallel / coaxial)</t>
  </si>
  <si>
    <t>design of gearbox axles at rear axle (parallel / coaxial)</t>
  </si>
  <si>
    <t>parallel</t>
  </si>
  <si>
    <t>vehicle.Input.i_gearbox_f</t>
  </si>
  <si>
    <t>gear ratio at front axle</t>
  </si>
  <si>
    <t>vehicle.Input.i_gearbox_r</t>
  </si>
  <si>
    <t>gear rato at rear axle</t>
  </si>
  <si>
    <t>vehicle.Input.cell_type</t>
  </si>
  <si>
    <t>battery cell type (cylindrical / pouch / prismatic)</t>
  </si>
  <si>
    <t>cylindrical</t>
  </si>
  <si>
    <t>vehicle.Input.battery_integration</t>
  </si>
  <si>
    <t>battery integration type (see sheet additional information)</t>
  </si>
  <si>
    <t>highfloor</t>
  </si>
  <si>
    <t>vehicle.Input.cell2pack</t>
  </si>
  <si>
    <t>Is the battery a cell to pack battery? (0/1)</t>
  </si>
  <si>
    <t>Tire and axle data</t>
  </si>
  <si>
    <t>vehicle.Input.rim_diameter</t>
  </si>
  <si>
    <t>diameter of rims</t>
  </si>
  <si>
    <t>vehicle.Input.tire_diameter</t>
  </si>
  <si>
    <t>diameter of tire</t>
  </si>
  <si>
    <t>vehicle.Input.axis_type_r</t>
  </si>
  <si>
    <t>axis type at rear axle (trapezoidal_link / sword_arm_link / five_link / torsion_beam)</t>
  </si>
  <si>
    <t>five_link</t>
  </si>
  <si>
    <t>vehicle.Input.spring_layout_r</t>
  </si>
  <si>
    <t>spring layout (coaxial / noncoaxial to damper)</t>
  </si>
  <si>
    <t>noncoaxial to damper</t>
  </si>
  <si>
    <t>Resistance</t>
  </si>
  <si>
    <t>vehicle.Input.c_d</t>
  </si>
  <si>
    <t>drag coefficient</t>
  </si>
  <si>
    <t>Battery</t>
  </si>
  <si>
    <t>vehicle.settings.fill_smalloverlapspace</t>
  </si>
  <si>
    <t>fill small overlap spaces with batteries (optimized room usage)</t>
  </si>
  <si>
    <t>vehicle.settings.fill_tunnel</t>
  </si>
  <si>
    <t>fill drive shaft tunnel with batteries</t>
  </si>
  <si>
    <t>vehicle.settings.fill_second_level</t>
  </si>
  <si>
    <t>fill space under rear seat row with batteries</t>
  </si>
  <si>
    <t>vehicle.settings.cooling_in_z</t>
  </si>
  <si>
    <t>type of cell cooling (1 = cool plate; 0 = cell wall cooling)</t>
  </si>
  <si>
    <t>Parameters.LDS.power_electronics_type</t>
  </si>
  <si>
    <t>type of power electronics (CHB / SiC MOSFET / IGBT / unknown)</t>
  </si>
  <si>
    <t>SiC MOSFET</t>
  </si>
  <si>
    <t>Parameters.dimensions.EX.battery_drive_unit_f</t>
  </si>
  <si>
    <t>distance motor / axle front &lt;--&gt; battery in x-direction</t>
  </si>
  <si>
    <t>Parameters.dimensions.EX.battery_drive_unit_r</t>
  </si>
  <si>
    <t>distance motor / axle rear &lt;--&gt; battery in x-direction</t>
  </si>
  <si>
    <t>Charging Process</t>
  </si>
  <si>
    <t>Maximal charging power according to the ev-database</t>
  </si>
  <si>
    <t>Mean charging power according to the ev-database</t>
  </si>
  <si>
    <t>Weight extra options</t>
  </si>
  <si>
    <t>vehicle.masses.optional_extras.AS</t>
  </si>
  <si>
    <t>Air suspension at rear axle?</t>
  </si>
  <si>
    <t>vehicle.masses.optional_extras.AWS</t>
  </si>
  <si>
    <t>all wheel steering?</t>
  </si>
  <si>
    <t>vehicle.masses.optional_extras.headlights_tech</t>
  </si>
  <si>
    <t>technology of headlights (LED, xenon, halogen)</t>
  </si>
  <si>
    <t>LED</t>
  </si>
  <si>
    <t>vehicle.masses.optional_extras.panorama_roof</t>
  </si>
  <si>
    <t>panorama roof?</t>
  </si>
  <si>
    <t>vehicle.masses.optional_extras.sliding_roof</t>
  </si>
  <si>
    <t>sliding roof?</t>
  </si>
  <si>
    <t>vehicle.masses.optional_extras.cluster_type</t>
  </si>
  <si>
    <t>instrument cluster digital (D) or analog (A)?</t>
  </si>
  <si>
    <t>D</t>
  </si>
  <si>
    <t>vehicle.masses.optional_extras.infotainment</t>
  </si>
  <si>
    <t>infotainment sceen on the dashboard</t>
  </si>
  <si>
    <t>vehicle.masses.optional_extras.HUD</t>
  </si>
  <si>
    <t>head-up-display?</t>
  </si>
  <si>
    <t>vehicle.masses.optional_extras.rear_seats</t>
  </si>
  <si>
    <t>design of rear seats (bench / individual)</t>
  </si>
  <si>
    <t>bench</t>
  </si>
  <si>
    <t>vehicle.masses.optional_extras.sliding_rear_bench</t>
  </si>
  <si>
    <t>sliding rear bench?</t>
  </si>
  <si>
    <t>vehicle.masses.optional_extras.subwoofer</t>
  </si>
  <si>
    <t>subwoofer?</t>
  </si>
  <si>
    <t>vehicle.masses.optional_extras.spare_tire</t>
  </si>
  <si>
    <t>spare tire?</t>
  </si>
  <si>
    <t>vehicle.masses.optional_extras.park_assist</t>
  </si>
  <si>
    <t>park assist?</t>
  </si>
  <si>
    <t>vehicle.masses.optional_extras.ACC</t>
  </si>
  <si>
    <t>ACC?</t>
  </si>
  <si>
    <t>vehicle.masses.optional_extras.BSM</t>
  </si>
  <si>
    <t>blind spot assistant?</t>
  </si>
  <si>
    <t>vehicle.masses.optional_extras.LKS</t>
  </si>
  <si>
    <t>lane keeping assistant?</t>
  </si>
  <si>
    <t>vehicle.masses.optional_extras.keyless</t>
  </si>
  <si>
    <t>keyless go?</t>
  </si>
  <si>
    <t>vehicle.masses.optional_extras.trunk_assist</t>
  </si>
  <si>
    <t>automatic trunk opener (foot)?</t>
  </si>
  <si>
    <t>vehicle.masses.optional_extras.phone_connectivity</t>
  </si>
  <si>
    <t>wifi phone connectivity?</t>
  </si>
  <si>
    <t>vehicle.masses.optional_extras.tow_hitch</t>
  </si>
  <si>
    <t>tow hitch?</t>
  </si>
  <si>
    <t>Benchmark Values</t>
  </si>
  <si>
    <t>consumption in WLTP</t>
  </si>
  <si>
    <t>maximum torque of front motor</t>
  </si>
  <si>
    <t>maximum torque of rear motor</t>
  </si>
  <si>
    <t>maximum power of front motor</t>
  </si>
  <si>
    <t>maximum power of rear motor</t>
  </si>
  <si>
    <t>netto energy of battery pack</t>
  </si>
  <si>
    <t>Benchmarking.performance.charging_time.EV_database</t>
  </si>
  <si>
    <t>charging time of the vehicles according to the ev-database</t>
  </si>
  <si>
    <t>Benchmarking.comfort.W20_1</t>
  </si>
  <si>
    <t>see graphics in sheet additional information</t>
  </si>
  <si>
    <t>Benchmarking.comfort.W20_2</t>
  </si>
  <si>
    <t>Benchmarking.comfort.H61_1</t>
  </si>
  <si>
    <t>Benchmarking.comfort.L99_1</t>
  </si>
  <si>
    <t>Benchmarking.comfort.L99_2</t>
  </si>
  <si>
    <t>Benchmarking.comfort.H5_1</t>
  </si>
  <si>
    <t>Benchmarking.comfort.H5_2</t>
  </si>
  <si>
    <t>Benchmarking.comfort.trunk_volume_ADAC</t>
  </si>
  <si>
    <t>Trunk volume in L based on the ADAC comparison</t>
  </si>
  <si>
    <t>VW ID.3</t>
  </si>
  <si>
    <t>Pro Performance (58 kWh) 1st Max (09/20 - 11/20)</t>
  </si>
  <si>
    <t>Hatchback</t>
  </si>
  <si>
    <t>pouch</t>
  </si>
  <si>
    <t>IGBT</t>
  </si>
  <si>
    <t>vehicle.Input.machine_orientation[1]</t>
  </si>
  <si>
    <t>vehicle.Input.machine_orientation[2]</t>
  </si>
  <si>
    <t>vehicle.Input.gearbox_type[front]</t>
  </si>
  <si>
    <t>vehicle.Input.gearbox_type[rear]</t>
  </si>
  <si>
    <t>vehicle.Input.gearbox_axles[front]</t>
  </si>
  <si>
    <t>vehicle.Input.gearbox_axles[rear]</t>
  </si>
  <si>
    <t>vehicle.Input.turning_circle</t>
  </si>
  <si>
    <t xml:space="preserve">Turning circle in m </t>
  </si>
  <si>
    <t>Battery integration</t>
  </si>
  <si>
    <t>Dimensional concept</t>
  </si>
  <si>
    <t>Package factors</t>
  </si>
  <si>
    <t>Source: Lorenzo Nicoletti, "Parametric Modeling of Battery Electric Vehicles in the Early Development Phase", P. D. Thesis, Technical University of Munich, Institute of Automotive Technology, 2022</t>
  </si>
  <si>
    <t>Source: P. Köhler, „Semi-physikalische Modellierung von Antriebsstrangkomponenten für Elektrofahrzeuge,“Master thesis, Institute of Automotive Technology, Technical University of Munich, Munich, 2021</t>
  </si>
  <si>
    <t>vehicle.Input.wheelbase</t>
  </si>
  <si>
    <t>vehicle.Input.T_max_Mot_f</t>
  </si>
  <si>
    <t>vehicle.Input.T_max_Mot_r</t>
  </si>
  <si>
    <t>vehicle.Input.cell_dimension[1]</t>
  </si>
  <si>
    <t>vehicle.Input.cell_dimension[2]</t>
  </si>
  <si>
    <t>vehicle.Input.cell_dimension[3]</t>
  </si>
  <si>
    <t>Cell dimension in x-direction (Length of the cell)</t>
  </si>
  <si>
    <t>Cell dimension in y-direction (Width of the cell)</t>
  </si>
  <si>
    <t>Cell dimension in z-direction (Heigth of the cell)</t>
  </si>
  <si>
    <t>235/45R18</t>
  </si>
  <si>
    <t>215/45R20</t>
  </si>
  <si>
    <t>vehicle.Input.tire_size_f</t>
  </si>
  <si>
    <t>vehicle.Input.tire_size_r</t>
  </si>
  <si>
    <t>Size of the front tire (e.g. 235/45R18 -&gt; width/relation_width_diameter, version, rim-diameter)</t>
  </si>
  <si>
    <t>Size of the rear tire (e.g. 235/45R18 -&gt; width/relation_width_diameter, version, rim-diameter)</t>
  </si>
  <si>
    <t>vehicle.Input.P_max_Mot_f</t>
  </si>
  <si>
    <t>vehicle.Input.P_max_Mot_r</t>
  </si>
  <si>
    <t>vehicle.Input.rear_steering_angle</t>
  </si>
  <si>
    <t>Steering angle of the rear wheel in degree (Put - if there is no rear wheel steering)</t>
  </si>
  <si>
    <t>distance road and lowest point of sprung mass (If not known, put - in the cell for calculation)</t>
  </si>
  <si>
    <t>vehicle.Input.H61_2</t>
  </si>
  <si>
    <t>Vehicle's acceleration from 0 to 100 km/h</t>
  </si>
  <si>
    <t>vehicle.battery.position_in_y</t>
  </si>
  <si>
    <t>vehicle.battery.electrical_interconnection</t>
  </si>
  <si>
    <t>Interconnection of the battery (number of seriell and parallel cells), (mostly found on ev database)</t>
  </si>
  <si>
    <t>96s31p</t>
  </si>
  <si>
    <t>108s2p</t>
  </si>
  <si>
    <t>vehicle.settings.fill_frontseat_area</t>
  </si>
  <si>
    <t>fillspace under front seat row with batteries (only for lowfloor vehicles)</t>
  </si>
  <si>
    <t>vehicle.Input.H252</t>
  </si>
  <si>
    <t>distance road and lowest point of trunk</t>
  </si>
  <si>
    <t>vehicle.Input.H297_2</t>
  </si>
  <si>
    <t>height of the trunk</t>
  </si>
  <si>
    <t>vehicle.battery.charging.power_EV_database</t>
  </si>
  <si>
    <t>vehicle.battery.charging.power_mean_ev_database</t>
  </si>
  <si>
    <t>vehicle.Input.battery_net_energy</t>
  </si>
  <si>
    <t>vehicle.Input.acceleration_time</t>
  </si>
  <si>
    <t>Benchmarking.performance.consumption_WLTP</t>
  </si>
  <si>
    <t>Benchmarking.performance.consumption_ECOTEST</t>
  </si>
  <si>
    <t>consumption in ADAC Ecotest (with charging losses)</t>
  </si>
  <si>
    <t>Benchmarking.performance.battery_net_energy_ADAC</t>
  </si>
  <si>
    <t>netto energy of battery pack evaluated by ADAC (with charging losses)</t>
  </si>
  <si>
    <t>vehicle.Input.design_approach</t>
  </si>
  <si>
    <t>Design approach of the vehicle (Conversion or Purpose Design)</t>
  </si>
  <si>
    <t>Purpose</t>
  </si>
  <si>
    <t xml:space="preserve">Define battery position in y-direction by referencing to the inner wheel point
1 = battery is wider than distance between rear wheels, 0 = equal to, -1 = smaller than) </t>
  </si>
  <si>
    <t>Benchmarking.performance.slalom</t>
  </si>
  <si>
    <t>Benchmarking.performance.double_lane_change</t>
  </si>
  <si>
    <t>Benchmarking.performance.tire_width_f</t>
  </si>
  <si>
    <t>Benchmarking.performance.tire_flank_height_f</t>
  </si>
  <si>
    <t>Benchmarking.performance.tire_rim_diameter_f</t>
  </si>
  <si>
    <t>Benchmarking.performance.tire_width_r</t>
  </si>
  <si>
    <t>Benchmarking.performance.tire_flank_height_r</t>
  </si>
  <si>
    <t>Benchmarking.performance.tire_rim_diameter_r</t>
  </si>
  <si>
    <t>Benchmarking.performance.track_width_f</t>
  </si>
  <si>
    <t>Benchmarking.performance.track_width_r</t>
  </si>
  <si>
    <t>Topology</t>
  </si>
  <si>
    <t>Comment</t>
  </si>
  <si>
    <t xml:space="preserve">One machine at the rear axle </t>
  </si>
  <si>
    <t>X_2G2M</t>
  </si>
  <si>
    <t>Two machines (each one with a separate gearbox) at the rear axle</t>
  </si>
  <si>
    <t>GM_X</t>
  </si>
  <si>
    <t>One machine at the front axle</t>
  </si>
  <si>
    <t>GM_GM</t>
  </si>
  <si>
    <t>One machine at the front and one at the rear axle</t>
  </si>
  <si>
    <t>2G2M_X</t>
  </si>
  <si>
    <t>Two machines (each one with a separate gearbox) at the front axle</t>
  </si>
  <si>
    <t>2G2M_2G2M</t>
  </si>
  <si>
    <t>Two machines (each one with a separate gearbox) on each axle</t>
  </si>
  <si>
    <t>Vehicle Speed in km/h in the 18m-Slalom driving manoeuvre</t>
  </si>
  <si>
    <t>Width of the front tires in mm</t>
  </si>
  <si>
    <t>Height of the front tire flank in mm</t>
  </si>
  <si>
    <t>Rim diameter of front tires in inches</t>
  </si>
  <si>
    <t>Width of the rear tires in mm</t>
  </si>
  <si>
    <t>Height of the rear tire flank in mm</t>
  </si>
  <si>
    <t>Front track width in mm</t>
  </si>
  <si>
    <t>Rear track width in mm</t>
  </si>
  <si>
    <t>Rim diameter of rear tires in inches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</si>
</sst>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0\ &quot;mm&quot;"/>
    <numFmt numFmtId="165" formatCode="0&quot; kg&quot;"/>
    <numFmt numFmtId="166" formatCode="0.00\ &quot;%&quot;"/>
    <numFmt numFmtId="167" formatCode="0.000\ &quot;kW&quot;"/>
    <numFmt numFmtId="168" formatCode="0\ &quot;inches&quot;"/>
    <numFmt numFmtId="169" formatCode="0.00\ &quot;mm&quot;"/>
    <numFmt numFmtId="170" formatCode="0\ &quot;V&quot;"/>
    <numFmt numFmtId="171" formatCode="0&quot; mm&quot;"/>
    <numFmt numFmtId="172" formatCode="0&quot; kW&quot;"/>
    <numFmt numFmtId="173" formatCode="0.00\ &quot;kWh/100km&quot;"/>
    <numFmt numFmtId="174" formatCode="0.00\ &quot;s&quot;"/>
    <numFmt numFmtId="175" formatCode="0\ &quot;km/h&quot;"/>
    <numFmt numFmtId="177" formatCode="0\ &quot;Nm&quot;"/>
    <numFmt numFmtId="179" formatCode="0.00\ &quot;kWh&quot;"/>
    <numFmt numFmtId="180" formatCode="0.00\ &quot;min&quot;"/>
    <numFmt numFmtId="181" formatCode="0\ &quot;l&quot;"/>
    <numFmt numFmtId="183" formatCode="0.0\ &quot;m&quot;"/>
    <numFmt numFmtId="184" formatCode="0.0\ &quot;°&quot;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u/>
      <sz val="11"/>
      <color theme="10"/>
      <name val="Arial"/>
      <family val="2"/>
    </font>
    <font>
      <sz val="12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97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0" xfId="0" applyFont="1"/>
    <xf numFmtId="171" fontId="6" fillId="3" borderId="1" xfId="0" applyNumberFormat="1" applyFont="1" applyFill="1" applyBorder="1" applyAlignment="1">
      <alignment horizontal="center"/>
    </xf>
    <xf numFmtId="9" fontId="7" fillId="0" borderId="0" xfId="1" applyFont="1" applyBorder="1" applyAlignment="1">
      <alignment horizontal="center"/>
    </xf>
    <xf numFmtId="0" fontId="7" fillId="0" borderId="0" xfId="0" applyFont="1" applyAlignment="1">
      <alignment horizontal="center"/>
    </xf>
    <xf numFmtId="181" fontId="7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0" fontId="5" fillId="2" borderId="8" xfId="0" applyFont="1" applyFill="1" applyBorder="1" applyAlignment="1">
      <alignment vertical="center"/>
    </xf>
    <xf numFmtId="0" fontId="7" fillId="0" borderId="9" xfId="0" applyFont="1" applyBorder="1"/>
    <xf numFmtId="0" fontId="7" fillId="0" borderId="1" xfId="0" applyFont="1" applyBorder="1"/>
    <xf numFmtId="0" fontId="7" fillId="0" borderId="10" xfId="0" applyFont="1" applyBorder="1"/>
    <xf numFmtId="0" fontId="8" fillId="0" borderId="1" xfId="0" applyFont="1" applyBorder="1"/>
    <xf numFmtId="0" fontId="8" fillId="0" borderId="10" xfId="0" applyFont="1" applyBorder="1"/>
    <xf numFmtId="0" fontId="7" fillId="0" borderId="5" xfId="0" applyFont="1" applyBorder="1"/>
    <xf numFmtId="0" fontId="9" fillId="0" borderId="1" xfId="0" applyFont="1" applyBorder="1"/>
    <xf numFmtId="0" fontId="5" fillId="3" borderId="8" xfId="0" applyFont="1" applyFill="1" applyBorder="1" applyAlignment="1">
      <alignment vertical="center"/>
    </xf>
    <xf numFmtId="0" fontId="8" fillId="0" borderId="9" xfId="0" applyFont="1" applyBorder="1"/>
    <xf numFmtId="0" fontId="9" fillId="0" borderId="10" xfId="0" applyFont="1" applyBorder="1"/>
    <xf numFmtId="0" fontId="5" fillId="2" borderId="2" xfId="0" applyFont="1" applyFill="1" applyBorder="1" applyAlignment="1">
      <alignment vertical="center"/>
    </xf>
    <xf numFmtId="0" fontId="7" fillId="0" borderId="13" xfId="0" applyFont="1" applyBorder="1"/>
    <xf numFmtId="0" fontId="7" fillId="0" borderId="4" xfId="0" applyFont="1" applyBorder="1"/>
    <xf numFmtId="0" fontId="7" fillId="0" borderId="14" xfId="0" applyFont="1" applyBorder="1"/>
    <xf numFmtId="0" fontId="8" fillId="0" borderId="4" xfId="0" applyFont="1" applyBorder="1"/>
    <xf numFmtId="0" fontId="8" fillId="0" borderId="14" xfId="0" applyFont="1" applyBorder="1"/>
    <xf numFmtId="0" fontId="7" fillId="0" borderId="15" xfId="0" applyFont="1" applyBorder="1"/>
    <xf numFmtId="0" fontId="9" fillId="0" borderId="4" xfId="0" applyFont="1" applyBorder="1"/>
    <xf numFmtId="0" fontId="5" fillId="3" borderId="2" xfId="0" applyFont="1" applyFill="1" applyBorder="1" applyAlignment="1">
      <alignment vertical="center"/>
    </xf>
    <xf numFmtId="0" fontId="8" fillId="0" borderId="13" xfId="0" applyFont="1" applyBorder="1"/>
    <xf numFmtId="0" fontId="9" fillId="0" borderId="14" xfId="0" applyFont="1" applyBorder="1"/>
    <xf numFmtId="0" fontId="4" fillId="0" borderId="9" xfId="0" applyFont="1" applyBorder="1" applyAlignment="1">
      <alignment horizontal="center"/>
    </xf>
    <xf numFmtId="0" fontId="2" fillId="0" borderId="1" xfId="2" applyFill="1" applyBorder="1" applyAlignment="1">
      <alignment horizontal="center" vertical="center"/>
    </xf>
    <xf numFmtId="0" fontId="12" fillId="0" borderId="1" xfId="2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7" fillId="0" borderId="17" xfId="0" applyFont="1" applyBorder="1"/>
    <xf numFmtId="0" fontId="7" fillId="0" borderId="18" xfId="0" applyFont="1" applyBorder="1"/>
    <xf numFmtId="0" fontId="7" fillId="0" borderId="18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7" fillId="0" borderId="18" xfId="0" applyFont="1" applyBorder="1" applyAlignment="1">
      <alignment wrapText="1"/>
    </xf>
    <xf numFmtId="0" fontId="7" fillId="0" borderId="0" xfId="0" applyFont="1" applyAlignment="1">
      <alignment wrapText="1"/>
    </xf>
    <xf numFmtId="183" fontId="7" fillId="0" borderId="3" xfId="0" applyNumberFormat="1" applyFont="1" applyBorder="1"/>
    <xf numFmtId="183" fontId="0" fillId="0" borderId="0" xfId="0" applyNumberFormat="1"/>
    <xf numFmtId="169" fontId="7" fillId="0" borderId="1" xfId="0" applyNumberFormat="1" applyFont="1" applyBorder="1"/>
    <xf numFmtId="169" fontId="7" fillId="0" borderId="4" xfId="0" applyNumberFormat="1" applyFont="1" applyBorder="1"/>
    <xf numFmtId="169" fontId="0" fillId="0" borderId="0" xfId="0" applyNumberFormat="1"/>
    <xf numFmtId="184" fontId="7" fillId="0" borderId="3" xfId="0" applyNumberFormat="1" applyFont="1" applyBorder="1"/>
    <xf numFmtId="184" fontId="0" fillId="0" borderId="0" xfId="0" applyNumberFormat="1"/>
    <xf numFmtId="0" fontId="7" fillId="0" borderId="19" xfId="0" applyFont="1" applyBorder="1"/>
    <xf numFmtId="0" fontId="8" fillId="0" borderId="0" xfId="0" applyFont="1"/>
    <xf numFmtId="170" fontId="7" fillId="0" borderId="1" xfId="0" applyNumberFormat="1" applyFont="1" applyBorder="1"/>
    <xf numFmtId="170" fontId="7" fillId="0" borderId="4" xfId="0" applyNumberFormat="1" applyFont="1" applyBorder="1"/>
    <xf numFmtId="170" fontId="8" fillId="0" borderId="0" xfId="0" applyNumberFormat="1" applyFont="1"/>
    <xf numFmtId="169" fontId="7" fillId="0" borderId="0" xfId="0" applyNumberFormat="1" applyFont="1"/>
    <xf numFmtId="0" fontId="7" fillId="0" borderId="20" xfId="0" applyFont="1" applyBorder="1"/>
    <xf numFmtId="0" fontId="7" fillId="0" borderId="21" xfId="0" applyFont="1" applyBorder="1"/>
    <xf numFmtId="0" fontId="7" fillId="0" borderId="16" xfId="0" applyFont="1" applyBorder="1"/>
    <xf numFmtId="184" fontId="7" fillId="0" borderId="1" xfId="0" applyNumberFormat="1" applyFont="1" applyBorder="1"/>
    <xf numFmtId="0" fontId="7" fillId="0" borderId="4" xfId="0" applyFont="1" applyBorder="1" applyAlignment="1">
      <alignment wrapText="1"/>
    </xf>
    <xf numFmtId="167" fontId="13" fillId="0" borderId="1" xfId="0" applyNumberFormat="1" applyFont="1" applyBorder="1" applyAlignment="1">
      <alignment horizontal="center"/>
    </xf>
    <xf numFmtId="183" fontId="7" fillId="0" borderId="16" xfId="0" applyNumberFormat="1" applyFont="1" applyBorder="1"/>
    <xf numFmtId="184" fontId="7" fillId="0" borderId="16" xfId="0" applyNumberFormat="1" applyFont="1" applyBorder="1"/>
    <xf numFmtId="169" fontId="7" fillId="0" borderId="16" xfId="0" applyNumberFormat="1" applyFont="1" applyBorder="1"/>
    <xf numFmtId="164" fontId="7" fillId="0" borderId="22" xfId="0" applyNumberFormat="1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183" fontId="7" fillId="0" borderId="22" xfId="0" applyNumberFormat="1" applyFont="1" applyBorder="1" applyAlignment="1">
      <alignment horizontal="center"/>
    </xf>
    <xf numFmtId="184" fontId="7" fillId="0" borderId="22" xfId="0" applyNumberFormat="1" applyFont="1" applyBorder="1" applyAlignment="1">
      <alignment horizontal="center"/>
    </xf>
    <xf numFmtId="169" fontId="7" fillId="0" borderId="22" xfId="0" applyNumberFormat="1" applyFont="1" applyBorder="1" applyAlignment="1">
      <alignment horizontal="center"/>
    </xf>
    <xf numFmtId="164" fontId="13" fillId="0" borderId="22" xfId="0" applyNumberFormat="1" applyFont="1" applyBorder="1" applyAlignment="1">
      <alignment horizontal="center"/>
    </xf>
    <xf numFmtId="165" fontId="7" fillId="0" borderId="22" xfId="0" applyNumberFormat="1" applyFont="1" applyBorder="1" applyAlignment="1">
      <alignment horizontal="center"/>
    </xf>
    <xf numFmtId="166" fontId="7" fillId="0" borderId="22" xfId="0" applyNumberFormat="1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177" fontId="13" fillId="0" borderId="22" xfId="0" applyNumberFormat="1" applyFont="1" applyBorder="1" applyAlignment="1">
      <alignment horizontal="center"/>
    </xf>
    <xf numFmtId="172" fontId="13" fillId="0" borderId="22" xfId="0" applyNumberFormat="1" applyFont="1" applyBorder="1" applyAlignment="1">
      <alignment horizontal="center"/>
    </xf>
    <xf numFmtId="174" fontId="13" fillId="0" borderId="22" xfId="0" applyNumberFormat="1" applyFont="1" applyBorder="1" applyAlignment="1">
      <alignment horizontal="center"/>
    </xf>
    <xf numFmtId="168" fontId="13" fillId="0" borderId="22" xfId="0" applyNumberFormat="1" applyFont="1" applyBorder="1" applyAlignment="1">
      <alignment horizontal="center"/>
    </xf>
    <xf numFmtId="169" fontId="13" fillId="0" borderId="22" xfId="0" applyNumberFormat="1" applyFont="1" applyBorder="1" applyAlignment="1">
      <alignment horizontal="center"/>
    </xf>
    <xf numFmtId="179" fontId="13" fillId="0" borderId="22" xfId="0" applyNumberFormat="1" applyFont="1" applyBorder="1" applyAlignment="1">
      <alignment horizontal="center"/>
    </xf>
    <xf numFmtId="170" fontId="13" fillId="0" borderId="22" xfId="0" applyNumberFormat="1" applyFont="1" applyBorder="1" applyAlignment="1">
      <alignment horizontal="center"/>
    </xf>
    <xf numFmtId="171" fontId="13" fillId="0" borderId="22" xfId="0" applyNumberFormat="1" applyFont="1" applyBorder="1" applyAlignment="1">
      <alignment horizontal="center"/>
    </xf>
    <xf numFmtId="173" fontId="13" fillId="0" borderId="22" xfId="0" applyNumberFormat="1" applyFont="1" applyBorder="1" applyAlignment="1">
      <alignment horizontal="center"/>
    </xf>
    <xf numFmtId="175" fontId="13" fillId="0" borderId="22" xfId="0" applyNumberFormat="1" applyFont="1" applyBorder="1" applyAlignment="1">
      <alignment horizontal="center"/>
    </xf>
    <xf numFmtId="180" fontId="13" fillId="0" borderId="22" xfId="0" applyNumberFormat="1" applyFont="1" applyBorder="1" applyAlignment="1">
      <alignment horizontal="center"/>
    </xf>
    <xf numFmtId="181" fontId="13" fillId="0" borderId="22" xfId="0" applyNumberFormat="1" applyFont="1" applyBorder="1" applyAlignment="1">
      <alignment horizontal="center"/>
    </xf>
    <xf numFmtId="1" fontId="13" fillId="0" borderId="22" xfId="0" applyNumberFormat="1" applyFont="1" applyBorder="1" applyAlignment="1">
      <alignment horizontal="center"/>
    </xf>
    <xf numFmtId="0" fontId="4" fillId="0" borderId="6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16" fillId="0" borderId="6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8" fillId="0" borderId="24" xfId="0" applyFont="1" applyBorder="1" applyAlignment="1">
      <alignment horizontal="left"/>
    </xf>
    <xf numFmtId="0" fontId="8" fillId="0" borderId="25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26" xfId="0" applyFont="1" applyBorder="1" applyAlignment="1">
      <alignment horizontal="left"/>
    </xf>
  </cellXfs>
  <cellStyles count="3">
    <cellStyle name="Link" xfId="2" builtinId="8"/>
    <cellStyle name="Prozent" xfId="1" builtinId="5"/>
    <cellStyle name="Standard" xfId="0" builtinId="0"/>
  </cellStyles>
  <dxfs count="0"/>
  <tableStyles count="0" defaultTableStyle="TableStyleMedium2" defaultPivotStyle="PivotStyleLight16"/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200891</xdr:colOff>
      <xdr:row>2</xdr:row>
      <xdr:rowOff>58883</xdr:rowOff>
    </xdr:from>
    <xdr:to>
      <xdr:col>1</xdr:col>
      <xdr:colOff>30645</xdr:colOff>
      <xdr:row>30</xdr:row>
      <xdr:rowOff>285898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08B721-7520-45D4-931F-2CAEB4CE0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891" y="447503"/>
          <a:ext cx="6573454" cy="5344389"/>
        </a:xfrm>
        <a:prstGeom prst="rect">
          <a:avLst/>
        </a:prstGeom>
      </xdr:spPr>
    </xdr:pic>
    <xdr:clientData/>
  </xdr:twoCellAnchor>
  <xdr:twoCellAnchor>
    <xdr:from>
      <xdr:col>1</xdr:col>
      <xdr:colOff>23092</xdr:colOff>
      <xdr:row>2</xdr:row>
      <xdr:rowOff>46183</xdr:rowOff>
    </xdr:from>
    <xdr:to>
      <xdr:col>2</xdr:col>
      <xdr:colOff>924</xdr:colOff>
      <xdr:row>24</xdr:row>
      <xdr:rowOff>23091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E35D623-4DDD-4DA4-B278-16F315BF0AD8}"/>
            </a:ext>
          </a:extLst>
        </xdr:cNvPr>
        <xdr:cNvGrpSpPr/>
      </xdr:nvGrpSpPr>
      <xdr:grpSpPr>
        <a:xfrm>
          <a:off x="6813056" y="440790"/>
          <a:ext cx="6767797" cy="4195122"/>
          <a:chOff x="17438982" y="27328518"/>
          <a:chExt cx="6302963" cy="3817577"/>
        </a:xfrm>
      </xdr:grpSpPr>
      <xdr:pic>
        <xdr:nvPicPr>
          <xdr:cNvPr id="4" name="Grafik 1">
            <a:extLst>
              <a:ext uri="{FF2B5EF4-FFF2-40B4-BE49-F238E27FC236}">
                <a16:creationId xmlns:a16="http://schemas.microsoft.com/office/drawing/2014/main" id="{BE0A0E80-5C60-6010-8CE8-C4C5B43356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7438982" y="27328518"/>
            <a:ext cx="6302963" cy="3817577"/>
          </a:xfrm>
          <a:prstGeom prst="rect">
            <a:avLst/>
          </a:prstGeom>
        </xdr:spPr>
      </xdr:pic>
      <xdr:sp macro="" textlink="">
        <xdr:nvSpPr>
          <xdr:cNvPr id="5" name="Doughnut 4">
            <a:extLst>
              <a:ext uri="{FF2B5EF4-FFF2-40B4-BE49-F238E27FC236}">
                <a16:creationId xmlns:a16="http://schemas.microsoft.com/office/drawing/2014/main" id="{EB0A17FD-111E-56D6-C94C-09310960587D}"/>
              </a:ext>
            </a:extLst>
          </xdr:cNvPr>
          <xdr:cNvSpPr/>
        </xdr:nvSpPr>
        <xdr:spPr>
          <a:xfrm>
            <a:off x="21119160" y="27880733"/>
            <a:ext cx="658519" cy="317500"/>
          </a:xfrm>
          <a:prstGeom prst="donut">
            <a:avLst>
              <a:gd name="adj" fmla="val 13938"/>
            </a:avLst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</xdr:col>
      <xdr:colOff>34636</xdr:colOff>
      <xdr:row>24</xdr:row>
      <xdr:rowOff>80818</xdr:rowOff>
    </xdr:from>
    <xdr:to>
      <xdr:col>1</xdr:col>
      <xdr:colOff>6973455</xdr:colOff>
      <xdr:row>38</xdr:row>
      <xdr:rowOff>23090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E262D2B-C87B-462E-A48C-2137A740A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2176" y="4660438"/>
          <a:ext cx="6938819" cy="2990272"/>
        </a:xfrm>
        <a:prstGeom prst="rect">
          <a:avLst/>
        </a:prstGeom>
      </xdr:spPr>
    </xdr:pic>
    <xdr:clientData/>
  </xdr:twoCellAnchor>
  <xdr:twoCellAnchor>
    <xdr:from>
      <xdr:col>1</xdr:col>
      <xdr:colOff>580537</xdr:colOff>
      <xdr:row>30</xdr:row>
      <xdr:rowOff>576301</xdr:rowOff>
    </xdr:from>
    <xdr:to>
      <xdr:col>1</xdr:col>
      <xdr:colOff>1168431</xdr:colOff>
      <xdr:row>32</xdr:row>
      <xdr:rowOff>7560</xdr:rowOff>
    </xdr:to>
    <xdr:sp macro="" textlink="">
      <xdr:nvSpPr>
        <xdr:cNvPr id="7" name="Doughnut 6">
          <a:extLst>
            <a:ext uri="{FF2B5EF4-FFF2-40B4-BE49-F238E27FC236}">
              <a16:creationId xmlns:a16="http://schemas.microsoft.com/office/drawing/2014/main" id="{807C2A99-F8AF-459B-B72C-9835245C2D0B}"/>
            </a:ext>
          </a:extLst>
        </xdr:cNvPr>
        <xdr:cNvSpPr/>
      </xdr:nvSpPr>
      <xdr:spPr>
        <a:xfrm>
          <a:off x="7568077" y="6291301"/>
          <a:ext cx="587894" cy="200879"/>
        </a:xfrm>
        <a:prstGeom prst="donut">
          <a:avLst>
            <a:gd name="adj" fmla="val 13938"/>
          </a:avLst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5818665</xdr:colOff>
      <xdr:row>30</xdr:row>
      <xdr:rowOff>554721</xdr:rowOff>
    </xdr:from>
    <xdr:to>
      <xdr:col>1</xdr:col>
      <xdr:colOff>6406559</xdr:colOff>
      <xdr:row>31</xdr:row>
      <xdr:rowOff>193798</xdr:rowOff>
    </xdr:to>
    <xdr:sp macro="" textlink="">
      <xdr:nvSpPr>
        <xdr:cNvPr id="8" name="Doughnut 7">
          <a:extLst>
            <a:ext uri="{FF2B5EF4-FFF2-40B4-BE49-F238E27FC236}">
              <a16:creationId xmlns:a16="http://schemas.microsoft.com/office/drawing/2014/main" id="{27279FD4-D347-46D8-A7C6-9900C0E6E3A5}"/>
            </a:ext>
          </a:extLst>
        </xdr:cNvPr>
        <xdr:cNvSpPr/>
      </xdr:nvSpPr>
      <xdr:spPr>
        <a:xfrm>
          <a:off x="12806205" y="6292581"/>
          <a:ext cx="587894" cy="195337"/>
        </a:xfrm>
        <a:prstGeom prst="donut">
          <a:avLst>
            <a:gd name="adj" fmla="val 13938"/>
          </a:avLst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3172305</xdr:colOff>
      <xdr:row>33</xdr:row>
      <xdr:rowOff>94672</xdr:rowOff>
    </xdr:from>
    <xdr:to>
      <xdr:col>1</xdr:col>
      <xdr:colOff>3760199</xdr:colOff>
      <xdr:row>34</xdr:row>
      <xdr:rowOff>172476</xdr:rowOff>
    </xdr:to>
    <xdr:sp macro="" textlink="">
      <xdr:nvSpPr>
        <xdr:cNvPr id="9" name="Doughnut 8">
          <a:extLst>
            <a:ext uri="{FF2B5EF4-FFF2-40B4-BE49-F238E27FC236}">
              <a16:creationId xmlns:a16="http://schemas.microsoft.com/office/drawing/2014/main" id="{E9412C31-FF90-4AC4-AA65-A2DE30BDC5E3}"/>
            </a:ext>
          </a:extLst>
        </xdr:cNvPr>
        <xdr:cNvSpPr/>
      </xdr:nvSpPr>
      <xdr:spPr>
        <a:xfrm>
          <a:off x="10159845" y="6769792"/>
          <a:ext cx="587894" cy="268304"/>
        </a:xfrm>
        <a:prstGeom prst="donut">
          <a:avLst>
            <a:gd name="adj" fmla="val 13938"/>
          </a:avLst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1190661</xdr:colOff>
      <xdr:row>39</xdr:row>
      <xdr:rowOff>23091</xdr:rowOff>
    </xdr:from>
    <xdr:to>
      <xdr:col>1</xdr:col>
      <xdr:colOff>6071755</xdr:colOff>
      <xdr:row>60</xdr:row>
      <xdr:rowOff>38331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BF4FFE62-6119-488C-AC1B-B6E33A324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80625" y="8228198"/>
          <a:ext cx="4881094" cy="4777740"/>
        </a:xfrm>
        <a:prstGeom prst="rect">
          <a:avLst/>
        </a:prstGeom>
      </xdr:spPr>
    </xdr:pic>
    <xdr:clientData/>
  </xdr:twoCellAnchor>
  <xdr:twoCellAnchor>
    <xdr:from>
      <xdr:col>1</xdr:col>
      <xdr:colOff>3506130</xdr:colOff>
      <xdr:row>44</xdr:row>
      <xdr:rowOff>95527</xdr:rowOff>
    </xdr:from>
    <xdr:to>
      <xdr:col>1</xdr:col>
      <xdr:colOff>4477499</xdr:colOff>
      <xdr:row>46</xdr:row>
      <xdr:rowOff>186334</xdr:rowOff>
    </xdr:to>
    <xdr:sp macro="" textlink="">
      <xdr:nvSpPr>
        <xdr:cNvPr id="11" name="Doughnut 11">
          <a:extLst>
            <a:ext uri="{FF2B5EF4-FFF2-40B4-BE49-F238E27FC236}">
              <a16:creationId xmlns:a16="http://schemas.microsoft.com/office/drawing/2014/main" id="{6DD9FA41-8E55-416B-A747-6D4E9836B418}"/>
            </a:ext>
          </a:extLst>
        </xdr:cNvPr>
        <xdr:cNvSpPr/>
      </xdr:nvSpPr>
      <xdr:spPr>
        <a:xfrm>
          <a:off x="10493670" y="8866147"/>
          <a:ext cx="971369" cy="471807"/>
        </a:xfrm>
        <a:prstGeom prst="donut">
          <a:avLst>
            <a:gd name="adj" fmla="val 13938"/>
          </a:avLst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2631978</xdr:colOff>
      <xdr:row>32</xdr:row>
      <xdr:rowOff>39255</xdr:rowOff>
    </xdr:from>
    <xdr:to>
      <xdr:col>1</xdr:col>
      <xdr:colOff>3219872</xdr:colOff>
      <xdr:row>33</xdr:row>
      <xdr:rowOff>117058</xdr:rowOff>
    </xdr:to>
    <xdr:sp macro="" textlink="">
      <xdr:nvSpPr>
        <xdr:cNvPr id="12" name="Doughnut 12">
          <a:extLst>
            <a:ext uri="{FF2B5EF4-FFF2-40B4-BE49-F238E27FC236}">
              <a16:creationId xmlns:a16="http://schemas.microsoft.com/office/drawing/2014/main" id="{E9B9C488-6D72-4B8A-9034-5DD7D022AA32}"/>
            </a:ext>
          </a:extLst>
        </xdr:cNvPr>
        <xdr:cNvSpPr/>
      </xdr:nvSpPr>
      <xdr:spPr>
        <a:xfrm>
          <a:off x="9619518" y="6523875"/>
          <a:ext cx="587894" cy="268303"/>
        </a:xfrm>
        <a:prstGeom prst="donut">
          <a:avLst>
            <a:gd name="adj" fmla="val 13938"/>
          </a:avLst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6797501</xdr:colOff>
      <xdr:row>1</xdr:row>
      <xdr:rowOff>195580</xdr:rowOff>
    </xdr:from>
    <xdr:to>
      <xdr:col>2</xdr:col>
      <xdr:colOff>6789394</xdr:colOff>
      <xdr:row>16</xdr:row>
      <xdr:rowOff>66073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349BB784-BE21-407E-B6EE-606B4A628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785041" y="386080"/>
          <a:ext cx="7169933" cy="27628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34637</xdr:rowOff>
    </xdr:from>
    <xdr:to>
      <xdr:col>1</xdr:col>
      <xdr:colOff>187948</xdr:colOff>
      <xdr:row>51</xdr:row>
      <xdr:rowOff>115454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39AE9F56-12AD-4F65-99E5-3214B7865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6328757"/>
          <a:ext cx="6931648" cy="3890817"/>
        </a:xfrm>
        <a:prstGeom prst="rect">
          <a:avLst/>
        </a:prstGeom>
      </xdr:spPr>
    </xdr:pic>
    <xdr:clientData/>
  </xdr:twoCellAnchor>
  <xdr:twoCellAnchor>
    <xdr:from>
      <xdr:col>0</xdr:col>
      <xdr:colOff>2000626</xdr:colOff>
      <xdr:row>37</xdr:row>
      <xdr:rowOff>22119</xdr:rowOff>
    </xdr:from>
    <xdr:to>
      <xdr:col>0</xdr:col>
      <xdr:colOff>3209635</xdr:colOff>
      <xdr:row>39</xdr:row>
      <xdr:rowOff>69272</xdr:rowOff>
    </xdr:to>
    <xdr:sp macro="" textlink="">
      <xdr:nvSpPr>
        <xdr:cNvPr id="15" name="Doughnut 15">
          <a:extLst>
            <a:ext uri="{FF2B5EF4-FFF2-40B4-BE49-F238E27FC236}">
              <a16:creationId xmlns:a16="http://schemas.microsoft.com/office/drawing/2014/main" id="{E9E1F4AA-121B-4729-A576-74D79EC78740}"/>
            </a:ext>
          </a:extLst>
        </xdr:cNvPr>
        <xdr:cNvSpPr/>
      </xdr:nvSpPr>
      <xdr:spPr>
        <a:xfrm>
          <a:off x="2000626" y="7459239"/>
          <a:ext cx="1209009" cy="428153"/>
        </a:xfrm>
        <a:prstGeom prst="donut">
          <a:avLst>
            <a:gd name="adj" fmla="val 13938"/>
          </a:avLst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1575753</xdr:colOff>
      <xdr:row>42</xdr:row>
      <xdr:rowOff>24428</xdr:rowOff>
    </xdr:from>
    <xdr:to>
      <xdr:col>0</xdr:col>
      <xdr:colOff>2784762</xdr:colOff>
      <xdr:row>44</xdr:row>
      <xdr:rowOff>138545</xdr:rowOff>
    </xdr:to>
    <xdr:sp macro="" textlink="">
      <xdr:nvSpPr>
        <xdr:cNvPr id="16" name="Doughnut 16">
          <a:extLst>
            <a:ext uri="{FF2B5EF4-FFF2-40B4-BE49-F238E27FC236}">
              <a16:creationId xmlns:a16="http://schemas.microsoft.com/office/drawing/2014/main" id="{72388848-F866-4BF2-9584-B98CB30B174B}"/>
            </a:ext>
          </a:extLst>
        </xdr:cNvPr>
        <xdr:cNvSpPr/>
      </xdr:nvSpPr>
      <xdr:spPr>
        <a:xfrm>
          <a:off x="1575753" y="8414048"/>
          <a:ext cx="1209009" cy="495117"/>
        </a:xfrm>
        <a:prstGeom prst="donut">
          <a:avLst>
            <a:gd name="adj" fmla="val 13938"/>
          </a:avLst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3734754</xdr:colOff>
      <xdr:row>42</xdr:row>
      <xdr:rowOff>93701</xdr:rowOff>
    </xdr:from>
    <xdr:to>
      <xdr:col>0</xdr:col>
      <xdr:colOff>4943763</xdr:colOff>
      <xdr:row>44</xdr:row>
      <xdr:rowOff>140854</xdr:rowOff>
    </xdr:to>
    <xdr:sp macro="" textlink="">
      <xdr:nvSpPr>
        <xdr:cNvPr id="17" name="Doughnut 17">
          <a:extLst>
            <a:ext uri="{FF2B5EF4-FFF2-40B4-BE49-F238E27FC236}">
              <a16:creationId xmlns:a16="http://schemas.microsoft.com/office/drawing/2014/main" id="{BB24152A-91F6-496D-B288-3B2478815B78}"/>
            </a:ext>
          </a:extLst>
        </xdr:cNvPr>
        <xdr:cNvSpPr/>
      </xdr:nvSpPr>
      <xdr:spPr>
        <a:xfrm>
          <a:off x="3734754" y="8483321"/>
          <a:ext cx="1209009" cy="428153"/>
        </a:xfrm>
        <a:prstGeom prst="donut">
          <a:avLst>
            <a:gd name="adj" fmla="val 13938"/>
          </a:avLst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4245063</xdr:colOff>
      <xdr:row>36</xdr:row>
      <xdr:rowOff>176828</xdr:rowOff>
    </xdr:from>
    <xdr:to>
      <xdr:col>0</xdr:col>
      <xdr:colOff>5454072</xdr:colOff>
      <xdr:row>39</xdr:row>
      <xdr:rowOff>16163</xdr:rowOff>
    </xdr:to>
    <xdr:sp macro="" textlink="">
      <xdr:nvSpPr>
        <xdr:cNvPr id="18" name="Doughnut 18">
          <a:extLst>
            <a:ext uri="{FF2B5EF4-FFF2-40B4-BE49-F238E27FC236}">
              <a16:creationId xmlns:a16="http://schemas.microsoft.com/office/drawing/2014/main" id="{08B4FF95-1208-4597-BF73-5162E9FEC63A}"/>
            </a:ext>
          </a:extLst>
        </xdr:cNvPr>
        <xdr:cNvSpPr/>
      </xdr:nvSpPr>
      <xdr:spPr>
        <a:xfrm>
          <a:off x="4245063" y="7423448"/>
          <a:ext cx="1209009" cy="410835"/>
        </a:xfrm>
        <a:prstGeom prst="donut">
          <a:avLst>
            <a:gd name="adj" fmla="val 13938"/>
          </a:avLst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69273</xdr:colOff>
      <xdr:row>17</xdr:row>
      <xdr:rowOff>103909</xdr:rowOff>
    </xdr:from>
    <xdr:to>
      <xdr:col>2</xdr:col>
      <xdr:colOff>3504459</xdr:colOff>
      <xdr:row>23</xdr:row>
      <xdr:rowOff>138546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AE00B277-A85E-4C4B-B494-AF6CE02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044353" y="3350029"/>
          <a:ext cx="3313266" cy="1177637"/>
        </a:xfrm>
        <a:prstGeom prst="rect">
          <a:avLst/>
        </a:prstGeom>
      </xdr:spPr>
    </xdr:pic>
    <xdr:clientData/>
  </xdr:twoCellAnchor>
  <xdr:twoCellAnchor editAs="oneCell">
    <xdr:from>
      <xdr:col>2</xdr:col>
      <xdr:colOff>3625827</xdr:colOff>
      <xdr:row>18</xdr:row>
      <xdr:rowOff>1525</xdr:rowOff>
    </xdr:from>
    <xdr:to>
      <xdr:col>3</xdr:col>
      <xdr:colOff>170</xdr:colOff>
      <xdr:row>24</xdr:row>
      <xdr:rowOff>23092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DA7A27B1-029F-4704-97D9-B669A9C28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600907" y="3438145"/>
          <a:ext cx="3239963" cy="116456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oritz Fundel" id="{8FCBE46F-8A36-4BAE-AB94-44EA9A6085CA}" userId="S::moritz.fundel@tum.de::0c88d9e0-2dc7-4e5c-813e-aafa4bd3b60a" providerId="AD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1" dT="2023-03-08T17:21:24.19" personId="{8FCBE46F-8A36-4BAE-AB94-44EA9A6085CA}" id="{71BAA50F-5EB5-43A3-9D6F-D12D45F47E64}">
    <text>Neueres Modells als von uns angeschaut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dac.de/rund-ums-fahrzeug/autokatalog/marken-modelle/vw/id3/1generation/299587/" TargetMode="External"/><Relationship Id="rId1" Type="http://schemas.openxmlformats.org/officeDocument/2006/relationships/hyperlink" Target="https://www.adac.de/rund-ums-fahrzeug/autokatalog/marken-modelle/tesla/model-3/1generation/317810/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ADC2B-3B0D-479B-B147-37A1EB19EED1}">
  <dimension ref="A1:D128"/>
  <sheetViews>
    <sheetView tabSelected="1" topLeftCell="A79" zoomScale="88" zoomScaleNormal="85" workbookViewId="0">
      <pane xSplit="1" topLeftCell="B1" activePane="topRight" state="frozen"/>
      <selection pane="topRight" activeCell="B123" sqref="B123"/>
    </sheetView>
  </sheetViews>
  <sheetFormatPr baseColWidth="10" defaultRowHeight="15.75" x14ac:dyDescent="0.25"/>
  <cols>
    <col min="1" max="1" width="64.7109375" bestFit="1" customWidth="1"/>
    <col min="2" max="2" width="97.42578125" bestFit="1" customWidth="1"/>
    <col min="3" max="3" width="29.42578125" style="6" bestFit="1" customWidth="1"/>
    <col min="4" max="4" width="46.42578125" bestFit="1" customWidth="1"/>
  </cols>
  <sheetData>
    <row r="1" spans="1:4" ht="27" thickBot="1" x14ac:dyDescent="0.3">
      <c r="A1" s="8" t="s">
        <v>0</v>
      </c>
      <c r="B1" s="8"/>
      <c r="C1" s="8"/>
      <c r="D1" s="8"/>
    </row>
    <row r="2" spans="1:4" ht="18" x14ac:dyDescent="0.25">
      <c r="A2" s="87" t="s">
        <v>1</v>
      </c>
      <c r="B2" s="88"/>
      <c r="C2" s="31" t="s">
        <v>2</v>
      </c>
      <c r="D2" s="31" t="s">
        <v>178</v>
      </c>
    </row>
    <row r="3" spans="1:4" ht="18.75" thickBot="1" x14ac:dyDescent="0.3">
      <c r="A3" s="89" t="s">
        <v>3</v>
      </c>
      <c r="B3" s="90"/>
      <c r="C3" s="32" t="s">
        <v>4</v>
      </c>
      <c r="D3" s="33" t="s">
        <v>179</v>
      </c>
    </row>
    <row r="4" spans="1:4" ht="16.5" thickBot="1" x14ac:dyDescent="0.3">
      <c r="A4" s="9" t="s">
        <v>5</v>
      </c>
      <c r="B4" s="20" t="s">
        <v>6</v>
      </c>
      <c r="C4" s="1"/>
      <c r="D4" s="1"/>
    </row>
    <row r="5" spans="1:4" x14ac:dyDescent="0.25">
      <c r="A5" s="10" t="s">
        <v>7</v>
      </c>
      <c r="B5" s="21" t="s">
        <v>8</v>
      </c>
      <c r="C5" s="65">
        <v>1849</v>
      </c>
      <c r="D5" s="65">
        <v>1813</v>
      </c>
    </row>
    <row r="6" spans="1:4" x14ac:dyDescent="0.25">
      <c r="A6" s="11" t="s">
        <v>9</v>
      </c>
      <c r="B6" s="22" t="s">
        <v>10</v>
      </c>
      <c r="C6" s="65">
        <v>1443</v>
      </c>
      <c r="D6" s="65">
        <v>1565</v>
      </c>
    </row>
    <row r="7" spans="1:4" x14ac:dyDescent="0.25">
      <c r="A7" s="11" t="s">
        <v>196</v>
      </c>
      <c r="B7" s="22" t="s">
        <v>11</v>
      </c>
      <c r="C7" s="65">
        <v>2875</v>
      </c>
      <c r="D7" s="65">
        <v>2766</v>
      </c>
    </row>
    <row r="8" spans="1:4" x14ac:dyDescent="0.25">
      <c r="A8" s="11" t="s">
        <v>12</v>
      </c>
      <c r="B8" s="22" t="s">
        <v>13</v>
      </c>
      <c r="C8" s="65">
        <v>540.20000000000005</v>
      </c>
      <c r="D8" s="65">
        <v>474.4</v>
      </c>
    </row>
    <row r="9" spans="1:4" x14ac:dyDescent="0.25">
      <c r="A9" s="11" t="s">
        <v>14</v>
      </c>
      <c r="B9" s="22" t="s">
        <v>15</v>
      </c>
      <c r="C9" s="65">
        <v>231.6</v>
      </c>
      <c r="D9" s="65">
        <v>235.5</v>
      </c>
    </row>
    <row r="10" spans="1:4" x14ac:dyDescent="0.25">
      <c r="A10" s="11" t="s">
        <v>16</v>
      </c>
      <c r="B10" s="22" t="s">
        <v>17</v>
      </c>
      <c r="C10" s="65">
        <v>305.8</v>
      </c>
      <c r="D10" s="65">
        <v>308.89999999999998</v>
      </c>
    </row>
    <row r="11" spans="1:4" x14ac:dyDescent="0.25">
      <c r="A11" s="11" t="s">
        <v>216</v>
      </c>
      <c r="B11" s="22" t="s">
        <v>169</v>
      </c>
      <c r="C11" s="65">
        <v>802.5</v>
      </c>
      <c r="D11" s="65">
        <v>807.9</v>
      </c>
    </row>
    <row r="12" spans="1:4" x14ac:dyDescent="0.25">
      <c r="A12" s="11" t="s">
        <v>18</v>
      </c>
      <c r="B12" s="22" t="s">
        <v>19</v>
      </c>
      <c r="C12" s="65">
        <v>839.3</v>
      </c>
      <c r="D12" s="65">
        <v>736.6</v>
      </c>
    </row>
    <row r="13" spans="1:4" x14ac:dyDescent="0.25">
      <c r="A13" s="11" t="s">
        <v>20</v>
      </c>
      <c r="B13" s="22" t="s">
        <v>21</v>
      </c>
      <c r="C13" s="65">
        <v>971</v>
      </c>
      <c r="D13" s="65">
        <v>758.3</v>
      </c>
    </row>
    <row r="14" spans="1:4" x14ac:dyDescent="0.25">
      <c r="A14" s="11" t="s">
        <v>22</v>
      </c>
      <c r="B14" s="22" t="s">
        <v>23</v>
      </c>
      <c r="C14" s="66">
        <v>5</v>
      </c>
      <c r="D14" s="66">
        <v>5</v>
      </c>
    </row>
    <row r="15" spans="1:4" x14ac:dyDescent="0.25">
      <c r="A15" s="11" t="s">
        <v>24</v>
      </c>
      <c r="B15" s="22" t="s">
        <v>25</v>
      </c>
      <c r="C15" s="66" t="s">
        <v>26</v>
      </c>
      <c r="D15" s="66" t="s">
        <v>180</v>
      </c>
    </row>
    <row r="16" spans="1:4" s="44" customFormat="1" x14ac:dyDescent="0.25">
      <c r="A16" s="43" t="s">
        <v>189</v>
      </c>
      <c r="B16" s="62" t="s">
        <v>190</v>
      </c>
      <c r="C16" s="67">
        <v>11.6</v>
      </c>
      <c r="D16" s="67">
        <v>10.3</v>
      </c>
    </row>
    <row r="17" spans="1:4" s="49" customFormat="1" x14ac:dyDescent="0.25">
      <c r="A17" s="48" t="s">
        <v>213</v>
      </c>
      <c r="B17" s="63" t="s">
        <v>214</v>
      </c>
      <c r="C17" s="68" t="s">
        <v>28</v>
      </c>
      <c r="D17" s="68" t="s">
        <v>28</v>
      </c>
    </row>
    <row r="18" spans="1:4" s="47" customFormat="1" x14ac:dyDescent="0.25">
      <c r="A18" s="45" t="s">
        <v>27</v>
      </c>
      <c r="B18" s="64" t="s">
        <v>215</v>
      </c>
      <c r="C18" s="69">
        <v>140</v>
      </c>
      <c r="D18" s="69">
        <v>163</v>
      </c>
    </row>
    <row r="19" spans="1:4" s="55" customFormat="1" ht="15" x14ac:dyDescent="0.2">
      <c r="A19" s="59" t="s">
        <v>225</v>
      </c>
      <c r="B19" s="46" t="s">
        <v>226</v>
      </c>
      <c r="C19" s="65">
        <v>585</v>
      </c>
      <c r="D19" s="65">
        <v>596</v>
      </c>
    </row>
    <row r="20" spans="1:4" s="55" customFormat="1" ht="15" x14ac:dyDescent="0.2">
      <c r="A20" s="11" t="s">
        <v>227</v>
      </c>
      <c r="B20" s="46" t="s">
        <v>228</v>
      </c>
      <c r="C20" s="65">
        <v>521</v>
      </c>
      <c r="D20" s="65">
        <v>562</v>
      </c>
    </row>
    <row r="21" spans="1:4" s="55" customFormat="1" ht="15" x14ac:dyDescent="0.2">
      <c r="A21" s="58" t="s">
        <v>238</v>
      </c>
      <c r="B21" s="55" t="s">
        <v>239</v>
      </c>
      <c r="C21" s="70" t="s">
        <v>240</v>
      </c>
      <c r="D21" s="70" t="s">
        <v>240</v>
      </c>
    </row>
    <row r="22" spans="1:4" ht="16.5" thickBot="1" x14ac:dyDescent="0.3">
      <c r="A22" s="9" t="s">
        <v>29</v>
      </c>
      <c r="B22" s="20" t="s">
        <v>6</v>
      </c>
      <c r="C22" s="1"/>
      <c r="D22" s="1"/>
    </row>
    <row r="23" spans="1:4" x14ac:dyDescent="0.25">
      <c r="A23" s="10" t="s">
        <v>30</v>
      </c>
      <c r="B23" s="21" t="s">
        <v>31</v>
      </c>
      <c r="C23" s="71">
        <f>1684-75</f>
        <v>1609</v>
      </c>
      <c r="D23" s="71">
        <f>1794-75</f>
        <v>1719</v>
      </c>
    </row>
    <row r="24" spans="1:4" x14ac:dyDescent="0.25">
      <c r="A24" s="11" t="s">
        <v>32</v>
      </c>
      <c r="B24" s="22" t="s">
        <v>33</v>
      </c>
      <c r="C24" s="71">
        <v>376</v>
      </c>
      <c r="D24" s="71">
        <v>466</v>
      </c>
    </row>
    <row r="25" spans="1:4" x14ac:dyDescent="0.25">
      <c r="A25" s="11" t="s">
        <v>34</v>
      </c>
      <c r="B25" s="22" t="s">
        <v>35</v>
      </c>
      <c r="C25" s="66">
        <v>46.5</v>
      </c>
      <c r="D25" s="66">
        <v>49.85</v>
      </c>
    </row>
    <row r="26" spans="1:4" x14ac:dyDescent="0.25">
      <c r="A26" s="13" t="s">
        <v>36</v>
      </c>
      <c r="B26" s="24" t="s">
        <v>37</v>
      </c>
      <c r="C26" s="66">
        <v>4</v>
      </c>
      <c r="D26" s="66">
        <v>4</v>
      </c>
    </row>
    <row r="27" spans="1:4" x14ac:dyDescent="0.25">
      <c r="A27" s="13" t="s">
        <v>38</v>
      </c>
      <c r="B27" s="24" t="s">
        <v>39</v>
      </c>
      <c r="C27" s="66" t="s">
        <v>40</v>
      </c>
      <c r="D27" s="66" t="s">
        <v>45</v>
      </c>
    </row>
    <row r="28" spans="1:4" x14ac:dyDescent="0.25">
      <c r="A28" s="13" t="s">
        <v>41</v>
      </c>
      <c r="B28" s="24" t="s">
        <v>42</v>
      </c>
      <c r="C28" s="66" t="s">
        <v>40</v>
      </c>
      <c r="D28" s="66" t="s">
        <v>45</v>
      </c>
    </row>
    <row r="29" spans="1:4" x14ac:dyDescent="0.25">
      <c r="A29" s="13" t="s">
        <v>43</v>
      </c>
      <c r="B29" s="24" t="s">
        <v>44</v>
      </c>
      <c r="C29" s="66" t="s">
        <v>45</v>
      </c>
      <c r="D29" s="66" t="s">
        <v>45</v>
      </c>
    </row>
    <row r="30" spans="1:4" x14ac:dyDescent="0.25">
      <c r="A30" s="13" t="s">
        <v>46</v>
      </c>
      <c r="B30" s="24" t="s">
        <v>47</v>
      </c>
      <c r="C30" s="66" t="s">
        <v>45</v>
      </c>
      <c r="D30" s="66" t="s">
        <v>45</v>
      </c>
    </row>
    <row r="31" spans="1:4" ht="16.5" thickBot="1" x14ac:dyDescent="0.3">
      <c r="A31" s="14" t="s">
        <v>48</v>
      </c>
      <c r="B31" s="25" t="s">
        <v>49</v>
      </c>
      <c r="C31" s="72">
        <v>25</v>
      </c>
      <c r="D31" s="66">
        <v>6</v>
      </c>
    </row>
    <row r="32" spans="1:4" ht="16.5" thickBot="1" x14ac:dyDescent="0.3">
      <c r="A32" s="9" t="s">
        <v>50</v>
      </c>
      <c r="B32" s="20" t="s">
        <v>6</v>
      </c>
      <c r="C32" s="1"/>
      <c r="D32" s="1"/>
    </row>
    <row r="33" spans="1:4" ht="16.5" thickBot="1" x14ac:dyDescent="0.3">
      <c r="A33" s="15" t="s">
        <v>51</v>
      </c>
      <c r="B33" s="26" t="s">
        <v>52</v>
      </c>
      <c r="C33" s="61">
        <v>0.75600000000000001</v>
      </c>
      <c r="D33" s="61">
        <v>0.75600000000000001</v>
      </c>
    </row>
    <row r="34" spans="1:4" ht="16.5" thickBot="1" x14ac:dyDescent="0.3">
      <c r="A34" s="9" t="s">
        <v>53</v>
      </c>
      <c r="B34" s="20" t="s">
        <v>6</v>
      </c>
      <c r="C34" s="1"/>
      <c r="D34" s="1"/>
    </row>
    <row r="35" spans="1:4" x14ac:dyDescent="0.25">
      <c r="A35" s="10" t="s">
        <v>54</v>
      </c>
      <c r="B35" s="21" t="s">
        <v>55</v>
      </c>
      <c r="C35" s="73" t="s">
        <v>56</v>
      </c>
      <c r="D35" s="73" t="s">
        <v>56</v>
      </c>
    </row>
    <row r="36" spans="1:4" x14ac:dyDescent="0.25">
      <c r="A36" s="11" t="s">
        <v>197</v>
      </c>
      <c r="B36" s="22" t="s">
        <v>161</v>
      </c>
      <c r="C36" s="74" t="s">
        <v>28</v>
      </c>
      <c r="D36" s="74" t="s">
        <v>28</v>
      </c>
    </row>
    <row r="37" spans="1:4" x14ac:dyDescent="0.25">
      <c r="A37" s="11" t="s">
        <v>198</v>
      </c>
      <c r="B37" s="22" t="s">
        <v>162</v>
      </c>
      <c r="C37" s="74">
        <v>420</v>
      </c>
      <c r="D37" s="74">
        <v>310</v>
      </c>
    </row>
    <row r="38" spans="1:4" x14ac:dyDescent="0.25">
      <c r="A38" s="11" t="s">
        <v>211</v>
      </c>
      <c r="B38" s="22" t="s">
        <v>163</v>
      </c>
      <c r="C38" s="75" t="s">
        <v>28</v>
      </c>
      <c r="D38" s="75" t="s">
        <v>28</v>
      </c>
    </row>
    <row r="39" spans="1:4" x14ac:dyDescent="0.25">
      <c r="A39" s="11" t="s">
        <v>212</v>
      </c>
      <c r="B39" s="22" t="s">
        <v>164</v>
      </c>
      <c r="C39" s="75">
        <v>239</v>
      </c>
      <c r="D39" s="75">
        <v>150</v>
      </c>
    </row>
    <row r="40" spans="1:4" x14ac:dyDescent="0.25">
      <c r="A40" s="11" t="s">
        <v>183</v>
      </c>
      <c r="B40" s="22" t="s">
        <v>57</v>
      </c>
      <c r="C40" s="73" t="s">
        <v>28</v>
      </c>
      <c r="D40" s="73" t="s">
        <v>28</v>
      </c>
    </row>
    <row r="41" spans="1:4" x14ac:dyDescent="0.25">
      <c r="A41" s="11" t="s">
        <v>184</v>
      </c>
      <c r="B41" s="22" t="s">
        <v>58</v>
      </c>
      <c r="C41" s="73">
        <v>1</v>
      </c>
      <c r="D41" s="73">
        <v>1</v>
      </c>
    </row>
    <row r="42" spans="1:4" x14ac:dyDescent="0.25">
      <c r="A42" s="11" t="s">
        <v>59</v>
      </c>
      <c r="B42" s="22" t="s">
        <v>60</v>
      </c>
      <c r="C42" s="73" t="s">
        <v>28</v>
      </c>
      <c r="D42" s="73" t="s">
        <v>28</v>
      </c>
    </row>
    <row r="43" spans="1:4" x14ac:dyDescent="0.25">
      <c r="A43" s="11" t="s">
        <v>61</v>
      </c>
      <c r="B43" s="22" t="s">
        <v>62</v>
      </c>
      <c r="C43" s="73" t="s">
        <v>63</v>
      </c>
      <c r="D43" s="73" t="s">
        <v>63</v>
      </c>
    </row>
    <row r="44" spans="1:4" x14ac:dyDescent="0.25">
      <c r="A44" s="11" t="s">
        <v>185</v>
      </c>
      <c r="B44" s="22" t="s">
        <v>64</v>
      </c>
      <c r="C44" s="73" t="s">
        <v>28</v>
      </c>
      <c r="D44" s="73" t="s">
        <v>28</v>
      </c>
    </row>
    <row r="45" spans="1:4" x14ac:dyDescent="0.25">
      <c r="A45" s="11" t="s">
        <v>186</v>
      </c>
      <c r="B45" s="22" t="s">
        <v>65</v>
      </c>
      <c r="C45" s="73" t="s">
        <v>66</v>
      </c>
      <c r="D45" s="73" t="s">
        <v>66</v>
      </c>
    </row>
    <row r="46" spans="1:4" x14ac:dyDescent="0.25">
      <c r="A46" s="11" t="s">
        <v>187</v>
      </c>
      <c r="B46" s="22" t="s">
        <v>67</v>
      </c>
      <c r="C46" s="73" t="s">
        <v>28</v>
      </c>
      <c r="D46" s="73" t="s">
        <v>28</v>
      </c>
    </row>
    <row r="47" spans="1:4" x14ac:dyDescent="0.25">
      <c r="A47" s="11" t="s">
        <v>188</v>
      </c>
      <c r="B47" s="22" t="s">
        <v>68</v>
      </c>
      <c r="C47" s="73" t="s">
        <v>69</v>
      </c>
      <c r="D47" s="73" t="s">
        <v>69</v>
      </c>
    </row>
    <row r="48" spans="1:4" x14ac:dyDescent="0.25">
      <c r="A48" s="11" t="s">
        <v>70</v>
      </c>
      <c r="B48" s="22" t="s">
        <v>71</v>
      </c>
      <c r="C48" s="73" t="s">
        <v>28</v>
      </c>
      <c r="D48" s="73" t="s">
        <v>28</v>
      </c>
    </row>
    <row r="49" spans="1:4" x14ac:dyDescent="0.25">
      <c r="A49" s="11" t="s">
        <v>72</v>
      </c>
      <c r="B49" s="22" t="s">
        <v>73</v>
      </c>
      <c r="C49" s="73">
        <v>9.0359999999999996</v>
      </c>
      <c r="D49" s="73">
        <v>11.5304</v>
      </c>
    </row>
    <row r="50" spans="1:4" x14ac:dyDescent="0.25">
      <c r="A50" s="11" t="s">
        <v>74</v>
      </c>
      <c r="B50" s="22" t="s">
        <v>75</v>
      </c>
      <c r="C50" s="73" t="s">
        <v>76</v>
      </c>
      <c r="D50" s="73" t="s">
        <v>181</v>
      </c>
    </row>
    <row r="51" spans="1:4" x14ac:dyDescent="0.25">
      <c r="A51" s="11" t="s">
        <v>77</v>
      </c>
      <c r="B51" s="22" t="s">
        <v>78</v>
      </c>
      <c r="C51" s="73" t="s">
        <v>79</v>
      </c>
      <c r="D51" s="73" t="s">
        <v>79</v>
      </c>
    </row>
    <row r="52" spans="1:4" ht="16.5" thickBot="1" x14ac:dyDescent="0.3">
      <c r="A52" s="12" t="s">
        <v>80</v>
      </c>
      <c r="B52" s="23" t="s">
        <v>81</v>
      </c>
      <c r="C52" s="73">
        <v>0</v>
      </c>
      <c r="D52" s="73">
        <v>0</v>
      </c>
    </row>
    <row r="53" spans="1:4" x14ac:dyDescent="0.25">
      <c r="A53" s="50" t="s">
        <v>232</v>
      </c>
      <c r="B53" s="3" t="s">
        <v>217</v>
      </c>
      <c r="C53" s="76">
        <v>5.6</v>
      </c>
      <c r="D53" s="76">
        <v>7.3</v>
      </c>
    </row>
    <row r="54" spans="1:4" x14ac:dyDescent="0.25">
      <c r="A54" s="9" t="s">
        <v>82</v>
      </c>
      <c r="B54" s="20" t="s">
        <v>6</v>
      </c>
      <c r="C54" s="1"/>
      <c r="D54" s="1"/>
    </row>
    <row r="55" spans="1:4" x14ac:dyDescent="0.25">
      <c r="A55" s="11" t="s">
        <v>83</v>
      </c>
      <c r="B55" s="22" t="s">
        <v>84</v>
      </c>
      <c r="C55" s="77">
        <v>18</v>
      </c>
      <c r="D55" s="77">
        <v>20</v>
      </c>
    </row>
    <row r="56" spans="1:4" x14ac:dyDescent="0.25">
      <c r="A56" s="11" t="s">
        <v>207</v>
      </c>
      <c r="B56" s="22" t="s">
        <v>209</v>
      </c>
      <c r="C56" s="77" t="s">
        <v>205</v>
      </c>
      <c r="D56" s="77" t="s">
        <v>206</v>
      </c>
    </row>
    <row r="57" spans="1:4" x14ac:dyDescent="0.25">
      <c r="A57" s="11" t="s">
        <v>208</v>
      </c>
      <c r="B57" s="22" t="s">
        <v>210</v>
      </c>
      <c r="C57" s="77" t="s">
        <v>205</v>
      </c>
      <c r="D57" s="77" t="s">
        <v>206</v>
      </c>
    </row>
    <row r="58" spans="1:4" x14ac:dyDescent="0.25">
      <c r="A58" s="11" t="s">
        <v>85</v>
      </c>
      <c r="B58" s="22" t="s">
        <v>86</v>
      </c>
      <c r="C58" s="78">
        <f xml:space="preserve"> C55*25.4 + 2*235*0.45</f>
        <v>668.7</v>
      </c>
      <c r="D58" s="78">
        <f xml:space="preserve"> D55*25.4 + 2*215*0.45</f>
        <v>701.5</v>
      </c>
    </row>
    <row r="59" spans="1:4" x14ac:dyDescent="0.25">
      <c r="A59" s="13" t="s">
        <v>87</v>
      </c>
      <c r="B59" s="22" t="s">
        <v>88</v>
      </c>
      <c r="C59" s="73" t="s">
        <v>89</v>
      </c>
      <c r="D59" s="73" t="s">
        <v>89</v>
      </c>
    </row>
    <row r="60" spans="1:4" ht="16.5" thickBot="1" x14ac:dyDescent="0.3">
      <c r="A60" s="14" t="s">
        <v>90</v>
      </c>
      <c r="B60" s="23" t="s">
        <v>91</v>
      </c>
      <c r="C60" s="73" t="s">
        <v>92</v>
      </c>
      <c r="D60" s="73" t="s">
        <v>92</v>
      </c>
    </row>
    <row r="61" spans="1:4" ht="16.5" thickBot="1" x14ac:dyDescent="0.3">
      <c r="A61" s="9" t="s">
        <v>93</v>
      </c>
      <c r="B61" s="20" t="s">
        <v>6</v>
      </c>
      <c r="C61" s="1"/>
      <c r="D61" s="1"/>
    </row>
    <row r="62" spans="1:4" ht="16.5" thickBot="1" x14ac:dyDescent="0.3">
      <c r="A62" s="15" t="s">
        <v>94</v>
      </c>
      <c r="B62" s="26" t="s">
        <v>95</v>
      </c>
      <c r="C62" s="2">
        <v>0.23</v>
      </c>
      <c r="D62" s="2">
        <v>0.26700000000000002</v>
      </c>
    </row>
    <row r="63" spans="1:4" x14ac:dyDescent="0.25">
      <c r="A63" s="9" t="s">
        <v>96</v>
      </c>
      <c r="B63" s="20" t="s">
        <v>6</v>
      </c>
      <c r="C63" s="1"/>
      <c r="D63" s="1"/>
    </row>
    <row r="64" spans="1:4" ht="16.5" thickBot="1" x14ac:dyDescent="0.3">
      <c r="A64" s="11" t="s">
        <v>231</v>
      </c>
      <c r="B64" s="22" t="s">
        <v>165</v>
      </c>
      <c r="C64" s="79">
        <v>58</v>
      </c>
      <c r="D64" s="79">
        <v>58</v>
      </c>
    </row>
    <row r="65" spans="1:4" x14ac:dyDescent="0.25">
      <c r="A65" s="10" t="s">
        <v>97</v>
      </c>
      <c r="B65" s="21" t="s">
        <v>98</v>
      </c>
      <c r="C65" s="73">
        <v>0</v>
      </c>
      <c r="D65" s="73">
        <v>0</v>
      </c>
    </row>
    <row r="66" spans="1:4" x14ac:dyDescent="0.25">
      <c r="A66" s="11" t="s">
        <v>99</v>
      </c>
      <c r="B66" s="22" t="s">
        <v>100</v>
      </c>
      <c r="C66" s="73">
        <v>0</v>
      </c>
      <c r="D66" s="73">
        <v>0</v>
      </c>
    </row>
    <row r="67" spans="1:4" x14ac:dyDescent="0.25">
      <c r="A67" s="11" t="s">
        <v>101</v>
      </c>
      <c r="B67" s="22" t="s">
        <v>102</v>
      </c>
      <c r="C67" s="73">
        <v>0</v>
      </c>
      <c r="D67" s="73">
        <v>0</v>
      </c>
    </row>
    <row r="68" spans="1:4" x14ac:dyDescent="0.25">
      <c r="A68" s="11" t="s">
        <v>223</v>
      </c>
      <c r="B68" s="22" t="s">
        <v>224</v>
      </c>
      <c r="C68" s="73">
        <v>0</v>
      </c>
      <c r="D68" s="73">
        <v>0</v>
      </c>
    </row>
    <row r="69" spans="1:4" s="47" customFormat="1" x14ac:dyDescent="0.25">
      <c r="A69" s="45" t="s">
        <v>199</v>
      </c>
      <c r="B69" s="46" t="s">
        <v>202</v>
      </c>
      <c r="C69" s="78">
        <v>21</v>
      </c>
      <c r="D69" s="78">
        <v>584</v>
      </c>
    </row>
    <row r="70" spans="1:4" s="47" customFormat="1" x14ac:dyDescent="0.25">
      <c r="A70" s="45" t="s">
        <v>200</v>
      </c>
      <c r="B70" s="46" t="s">
        <v>203</v>
      </c>
      <c r="C70" s="78">
        <v>21</v>
      </c>
      <c r="D70" s="78">
        <v>9</v>
      </c>
    </row>
    <row r="71" spans="1:4" s="47" customFormat="1" x14ac:dyDescent="0.25">
      <c r="A71" s="45" t="s">
        <v>201</v>
      </c>
      <c r="B71" s="46" t="s">
        <v>204</v>
      </c>
      <c r="C71" s="78">
        <v>70</v>
      </c>
      <c r="D71" s="78">
        <v>97</v>
      </c>
    </row>
    <row r="72" spans="1:4" x14ac:dyDescent="0.25">
      <c r="A72" s="11" t="s">
        <v>103</v>
      </c>
      <c r="B72" s="22" t="s">
        <v>104</v>
      </c>
      <c r="C72" s="73">
        <v>0</v>
      </c>
      <c r="D72" s="73">
        <v>1</v>
      </c>
    </row>
    <row r="73" spans="1:4" s="51" customFormat="1" ht="30" x14ac:dyDescent="0.2">
      <c r="A73" s="11" t="s">
        <v>218</v>
      </c>
      <c r="B73" s="60" t="s">
        <v>241</v>
      </c>
      <c r="C73" s="73">
        <v>0</v>
      </c>
      <c r="D73" s="73">
        <v>0</v>
      </c>
    </row>
    <row r="74" spans="1:4" s="54" customFormat="1" ht="15" x14ac:dyDescent="0.2">
      <c r="A74" s="52" t="s">
        <v>219</v>
      </c>
      <c r="B74" s="53" t="s">
        <v>220</v>
      </c>
      <c r="C74" s="80" t="s">
        <v>221</v>
      </c>
      <c r="D74" s="80" t="s">
        <v>222</v>
      </c>
    </row>
    <row r="75" spans="1:4" x14ac:dyDescent="0.25">
      <c r="A75" s="11" t="s">
        <v>105</v>
      </c>
      <c r="B75" s="22" t="s">
        <v>106</v>
      </c>
      <c r="C75" s="73" t="s">
        <v>107</v>
      </c>
      <c r="D75" s="73" t="s">
        <v>182</v>
      </c>
    </row>
    <row r="76" spans="1:4" x14ac:dyDescent="0.25">
      <c r="A76" s="11" t="s">
        <v>108</v>
      </c>
      <c r="B76" s="22" t="s">
        <v>109</v>
      </c>
      <c r="C76" s="81">
        <v>398.3</v>
      </c>
      <c r="D76" s="81">
        <v>553.4</v>
      </c>
    </row>
    <row r="77" spans="1:4" ht="16.5" thickBot="1" x14ac:dyDescent="0.3">
      <c r="A77" s="12" t="s">
        <v>110</v>
      </c>
      <c r="B77" s="23" t="s">
        <v>111</v>
      </c>
      <c r="C77" s="81">
        <v>110</v>
      </c>
      <c r="D77" s="81">
        <v>517.4</v>
      </c>
    </row>
    <row r="78" spans="1:4" x14ac:dyDescent="0.25">
      <c r="A78" s="17" t="s">
        <v>112</v>
      </c>
      <c r="B78" s="28" t="s">
        <v>6</v>
      </c>
      <c r="C78" s="4"/>
      <c r="D78" s="4"/>
    </row>
    <row r="79" spans="1:4" x14ac:dyDescent="0.25">
      <c r="A79" s="13" t="s">
        <v>229</v>
      </c>
      <c r="B79" s="24" t="s">
        <v>113</v>
      </c>
      <c r="C79" s="75">
        <v>170</v>
      </c>
      <c r="D79" s="75">
        <v>124</v>
      </c>
    </row>
    <row r="80" spans="1:4" ht="16.5" thickBot="1" x14ac:dyDescent="0.3">
      <c r="A80" s="14" t="s">
        <v>230</v>
      </c>
      <c r="B80" s="25" t="s">
        <v>114</v>
      </c>
      <c r="C80" s="75">
        <v>105</v>
      </c>
      <c r="D80" s="75">
        <v>82</v>
      </c>
    </row>
    <row r="81" spans="1:4" ht="16.5" thickBot="1" x14ac:dyDescent="0.3">
      <c r="A81" s="9" t="s">
        <v>115</v>
      </c>
      <c r="B81" s="20" t="s">
        <v>6</v>
      </c>
      <c r="C81" s="1"/>
      <c r="D81" s="1"/>
    </row>
    <row r="82" spans="1:4" x14ac:dyDescent="0.25">
      <c r="A82" s="18" t="s">
        <v>116</v>
      </c>
      <c r="B82" s="29" t="s">
        <v>117</v>
      </c>
      <c r="C82" s="73">
        <v>0</v>
      </c>
      <c r="D82" s="73">
        <v>0</v>
      </c>
    </row>
    <row r="83" spans="1:4" x14ac:dyDescent="0.25">
      <c r="A83" s="13" t="s">
        <v>118</v>
      </c>
      <c r="B83" s="24" t="s">
        <v>119</v>
      </c>
      <c r="C83" s="73">
        <v>0</v>
      </c>
      <c r="D83" s="73">
        <v>0</v>
      </c>
    </row>
    <row r="84" spans="1:4" x14ac:dyDescent="0.25">
      <c r="A84" s="13" t="s">
        <v>120</v>
      </c>
      <c r="B84" s="24" t="s">
        <v>121</v>
      </c>
      <c r="C84" s="73" t="s">
        <v>122</v>
      </c>
      <c r="D84" s="73" t="s">
        <v>122</v>
      </c>
    </row>
    <row r="85" spans="1:4" x14ac:dyDescent="0.25">
      <c r="A85" s="13" t="s">
        <v>123</v>
      </c>
      <c r="B85" s="24" t="s">
        <v>124</v>
      </c>
      <c r="C85" s="73">
        <v>0</v>
      </c>
      <c r="D85" s="73">
        <v>1</v>
      </c>
    </row>
    <row r="86" spans="1:4" x14ac:dyDescent="0.25">
      <c r="A86" s="13" t="s">
        <v>125</v>
      </c>
      <c r="B86" s="24" t="s">
        <v>126</v>
      </c>
      <c r="C86" s="73">
        <v>0</v>
      </c>
      <c r="D86" s="73">
        <v>0</v>
      </c>
    </row>
    <row r="87" spans="1:4" x14ac:dyDescent="0.25">
      <c r="A87" s="13" t="s">
        <v>127</v>
      </c>
      <c r="B87" s="24" t="s">
        <v>128</v>
      </c>
      <c r="C87" s="73" t="s">
        <v>129</v>
      </c>
      <c r="D87" s="73" t="s">
        <v>129</v>
      </c>
    </row>
    <row r="88" spans="1:4" x14ac:dyDescent="0.25">
      <c r="A88" s="13" t="s">
        <v>130</v>
      </c>
      <c r="B88" s="24" t="s">
        <v>131</v>
      </c>
      <c r="C88" s="73">
        <v>1</v>
      </c>
      <c r="D88" s="73">
        <v>1</v>
      </c>
    </row>
    <row r="89" spans="1:4" x14ac:dyDescent="0.25">
      <c r="A89" s="13" t="s">
        <v>132</v>
      </c>
      <c r="B89" s="24" t="s">
        <v>133</v>
      </c>
      <c r="C89" s="73">
        <v>0</v>
      </c>
      <c r="D89" s="73">
        <v>1</v>
      </c>
    </row>
    <row r="90" spans="1:4" x14ac:dyDescent="0.25">
      <c r="A90" s="13" t="s">
        <v>134</v>
      </c>
      <c r="B90" s="24" t="s">
        <v>135</v>
      </c>
      <c r="C90" s="73" t="s">
        <v>136</v>
      </c>
      <c r="D90" s="73" t="s">
        <v>136</v>
      </c>
    </row>
    <row r="91" spans="1:4" x14ac:dyDescent="0.25">
      <c r="A91" s="13" t="s">
        <v>137</v>
      </c>
      <c r="B91" s="24" t="s">
        <v>138</v>
      </c>
      <c r="C91" s="73">
        <v>0</v>
      </c>
      <c r="D91" s="73">
        <v>0</v>
      </c>
    </row>
    <row r="92" spans="1:4" x14ac:dyDescent="0.25">
      <c r="A92" s="13" t="s">
        <v>139</v>
      </c>
      <c r="B92" s="24" t="s">
        <v>140</v>
      </c>
      <c r="C92" s="73">
        <v>0</v>
      </c>
      <c r="D92" s="73">
        <v>0</v>
      </c>
    </row>
    <row r="93" spans="1:4" x14ac:dyDescent="0.25">
      <c r="A93" s="13" t="s">
        <v>141</v>
      </c>
      <c r="B93" s="24" t="s">
        <v>142</v>
      </c>
      <c r="C93" s="73">
        <v>0</v>
      </c>
      <c r="D93" s="73">
        <v>0</v>
      </c>
    </row>
    <row r="94" spans="1:4" x14ac:dyDescent="0.25">
      <c r="A94" s="13" t="s">
        <v>143</v>
      </c>
      <c r="B94" s="24" t="s">
        <v>144</v>
      </c>
      <c r="C94" s="73">
        <v>0</v>
      </c>
      <c r="D94" s="73">
        <v>0</v>
      </c>
    </row>
    <row r="95" spans="1:4" x14ac:dyDescent="0.25">
      <c r="A95" s="13" t="s">
        <v>145</v>
      </c>
      <c r="B95" s="24" t="s">
        <v>146</v>
      </c>
      <c r="C95" s="73">
        <v>0</v>
      </c>
      <c r="D95" s="73">
        <v>0</v>
      </c>
    </row>
    <row r="96" spans="1:4" x14ac:dyDescent="0.25">
      <c r="A96" s="13" t="s">
        <v>147</v>
      </c>
      <c r="B96" s="24" t="s">
        <v>148</v>
      </c>
      <c r="C96" s="73">
        <v>0</v>
      </c>
      <c r="D96" s="73">
        <v>0</v>
      </c>
    </row>
    <row r="97" spans="1:4" x14ac:dyDescent="0.25">
      <c r="A97" s="13" t="s">
        <v>149</v>
      </c>
      <c r="B97" s="24" t="s">
        <v>150</v>
      </c>
      <c r="C97" s="73">
        <v>0</v>
      </c>
      <c r="D97" s="73">
        <v>0</v>
      </c>
    </row>
    <row r="98" spans="1:4" x14ac:dyDescent="0.25">
      <c r="A98" s="13" t="s">
        <v>151</v>
      </c>
      <c r="B98" s="24" t="s">
        <v>152</v>
      </c>
      <c r="C98" s="73">
        <v>0</v>
      </c>
      <c r="D98" s="73">
        <v>0</v>
      </c>
    </row>
    <row r="99" spans="1:4" x14ac:dyDescent="0.25">
      <c r="A99" s="16" t="s">
        <v>153</v>
      </c>
      <c r="B99" s="27" t="s">
        <v>154</v>
      </c>
      <c r="C99" s="73">
        <v>0</v>
      </c>
      <c r="D99" s="73">
        <v>0</v>
      </c>
    </row>
    <row r="100" spans="1:4" x14ac:dyDescent="0.25">
      <c r="A100" s="16" t="s">
        <v>155</v>
      </c>
      <c r="B100" s="27" t="s">
        <v>156</v>
      </c>
      <c r="C100" s="73">
        <v>0</v>
      </c>
      <c r="D100" s="73">
        <v>0</v>
      </c>
    </row>
    <row r="101" spans="1:4" ht="16.5" thickBot="1" x14ac:dyDescent="0.3">
      <c r="A101" s="19" t="s">
        <v>157</v>
      </c>
      <c r="B101" s="30" t="s">
        <v>158</v>
      </c>
      <c r="C101" s="73">
        <v>0</v>
      </c>
      <c r="D101" s="73">
        <v>0</v>
      </c>
    </row>
    <row r="102" spans="1:4" ht="16.5" thickBot="1" x14ac:dyDescent="0.3">
      <c r="A102" s="9" t="s">
        <v>159</v>
      </c>
      <c r="B102" s="20" t="s">
        <v>6</v>
      </c>
      <c r="C102" s="1"/>
      <c r="D102" s="1"/>
    </row>
    <row r="103" spans="1:4" x14ac:dyDescent="0.25">
      <c r="A103" s="10" t="s">
        <v>233</v>
      </c>
      <c r="B103" s="21" t="s">
        <v>160</v>
      </c>
      <c r="C103" s="82">
        <v>14</v>
      </c>
      <c r="D103" s="82">
        <v>16.100000000000001</v>
      </c>
    </row>
    <row r="104" spans="1:4" x14ac:dyDescent="0.25">
      <c r="A104" s="56" t="s">
        <v>234</v>
      </c>
      <c r="B104" s="57" t="s">
        <v>235</v>
      </c>
      <c r="C104" s="82" t="s">
        <v>28</v>
      </c>
      <c r="D104" s="82">
        <v>19.3</v>
      </c>
    </row>
    <row r="105" spans="1:4" x14ac:dyDescent="0.25">
      <c r="A105" s="11" t="s">
        <v>236</v>
      </c>
      <c r="B105" s="22" t="s">
        <v>237</v>
      </c>
      <c r="C105" s="79" t="s">
        <v>28</v>
      </c>
      <c r="D105" s="79">
        <v>64.8</v>
      </c>
    </row>
    <row r="106" spans="1:4" x14ac:dyDescent="0.25">
      <c r="A106" s="11" t="s">
        <v>166</v>
      </c>
      <c r="B106" s="22" t="s">
        <v>167</v>
      </c>
      <c r="C106" s="84">
        <v>24</v>
      </c>
      <c r="D106" s="84">
        <v>31</v>
      </c>
    </row>
    <row r="107" spans="1:4" x14ac:dyDescent="0.25">
      <c r="A107" s="11" t="s">
        <v>168</v>
      </c>
      <c r="B107" s="22" t="s">
        <v>169</v>
      </c>
      <c r="C107" s="70">
        <v>375.2</v>
      </c>
      <c r="D107" s="70">
        <v>344</v>
      </c>
    </row>
    <row r="108" spans="1:4" x14ac:dyDescent="0.25">
      <c r="A108" s="11" t="s">
        <v>170</v>
      </c>
      <c r="B108" s="22" t="s">
        <v>169</v>
      </c>
      <c r="C108" s="70">
        <v>327.3</v>
      </c>
      <c r="D108" s="70">
        <v>344</v>
      </c>
    </row>
    <row r="109" spans="1:4" x14ac:dyDescent="0.25">
      <c r="A109" s="11" t="s">
        <v>171</v>
      </c>
      <c r="B109" s="22" t="s">
        <v>169</v>
      </c>
      <c r="C109" s="70">
        <v>925.3</v>
      </c>
      <c r="D109" s="70">
        <v>905.6</v>
      </c>
    </row>
    <row r="110" spans="1:4" x14ac:dyDescent="0.25">
      <c r="A110" s="11" t="s">
        <v>172</v>
      </c>
      <c r="B110" s="22" t="s">
        <v>169</v>
      </c>
      <c r="C110" s="70">
        <v>1016.4</v>
      </c>
      <c r="D110" s="70">
        <v>1024.5</v>
      </c>
    </row>
    <row r="111" spans="1:4" x14ac:dyDescent="0.25">
      <c r="A111" s="11" t="s">
        <v>173</v>
      </c>
      <c r="B111" s="22" t="s">
        <v>169</v>
      </c>
      <c r="C111" s="70">
        <v>1823.9</v>
      </c>
      <c r="D111" s="70">
        <v>1814.3</v>
      </c>
    </row>
    <row r="112" spans="1:4" x14ac:dyDescent="0.25">
      <c r="A112" s="11" t="s">
        <v>174</v>
      </c>
      <c r="B112" s="22" t="s">
        <v>169</v>
      </c>
      <c r="C112" s="70">
        <v>537</v>
      </c>
      <c r="D112" s="70">
        <v>621.20000000000005</v>
      </c>
    </row>
    <row r="113" spans="1:4" x14ac:dyDescent="0.25">
      <c r="A113" s="11" t="s">
        <v>175</v>
      </c>
      <c r="B113" s="22" t="s">
        <v>169</v>
      </c>
      <c r="C113" s="70">
        <v>608.9</v>
      </c>
      <c r="D113" s="70">
        <v>700.3</v>
      </c>
    </row>
    <row r="114" spans="1:4" x14ac:dyDescent="0.25">
      <c r="A114" s="11" t="s">
        <v>176</v>
      </c>
      <c r="B114" s="22" t="s">
        <v>177</v>
      </c>
      <c r="C114" s="85">
        <v>385</v>
      </c>
      <c r="D114" s="85">
        <v>315</v>
      </c>
    </row>
    <row r="115" spans="1:4" s="3" customFormat="1" ht="15" x14ac:dyDescent="0.2">
      <c r="A115" s="11" t="s">
        <v>242</v>
      </c>
      <c r="B115" s="22" t="s">
        <v>265</v>
      </c>
      <c r="C115" s="83">
        <v>63.9</v>
      </c>
      <c r="D115" s="83">
        <v>63.7</v>
      </c>
    </row>
    <row r="116" spans="1:4" s="3" customFormat="1" ht="15" x14ac:dyDescent="0.2">
      <c r="A116" s="11" t="s">
        <v>243</v>
      </c>
      <c r="B116" s="22"/>
      <c r="C116" s="83">
        <v>121.8</v>
      </c>
      <c r="D116" s="83">
        <v>129.4</v>
      </c>
    </row>
    <row r="117" spans="1:4" s="3" customFormat="1" ht="15" x14ac:dyDescent="0.2">
      <c r="A117" s="11" t="s">
        <v>244</v>
      </c>
      <c r="B117" s="22" t="s">
        <v>266</v>
      </c>
      <c r="C117" s="70">
        <v>235</v>
      </c>
      <c r="D117" s="70">
        <v>215</v>
      </c>
    </row>
    <row r="118" spans="1:4" s="3" customFormat="1" ht="15" x14ac:dyDescent="0.2">
      <c r="A118" s="11" t="s">
        <v>245</v>
      </c>
      <c r="B118" s="22" t="s">
        <v>267</v>
      </c>
      <c r="C118" s="86">
        <v>50</v>
      </c>
      <c r="D118" s="86">
        <v>45</v>
      </c>
    </row>
    <row r="119" spans="1:4" s="3" customFormat="1" ht="15" x14ac:dyDescent="0.2">
      <c r="A119" s="11" t="s">
        <v>246</v>
      </c>
      <c r="B119" s="22" t="s">
        <v>268</v>
      </c>
      <c r="C119" s="77">
        <v>19</v>
      </c>
      <c r="D119" s="77">
        <v>20</v>
      </c>
    </row>
    <row r="120" spans="1:4" s="3" customFormat="1" ht="15" x14ac:dyDescent="0.2">
      <c r="A120" s="11" t="s">
        <v>247</v>
      </c>
      <c r="B120" s="22" t="s">
        <v>269</v>
      </c>
      <c r="C120" s="70">
        <v>235</v>
      </c>
      <c r="D120" s="70">
        <v>215</v>
      </c>
    </row>
    <row r="121" spans="1:4" s="3" customFormat="1" ht="15" x14ac:dyDescent="0.2">
      <c r="A121" s="11" t="s">
        <v>248</v>
      </c>
      <c r="B121" s="22" t="s">
        <v>270</v>
      </c>
      <c r="C121" s="86">
        <v>50</v>
      </c>
      <c r="D121" s="86">
        <v>45</v>
      </c>
    </row>
    <row r="122" spans="1:4" s="3" customFormat="1" ht="15" x14ac:dyDescent="0.2">
      <c r="A122" s="11" t="s">
        <v>249</v>
      </c>
      <c r="B122" s="22" t="s">
        <v>273</v>
      </c>
      <c r="C122" s="77">
        <v>19</v>
      </c>
      <c r="D122" s="77">
        <v>20</v>
      </c>
    </row>
    <row r="123" spans="1:4" s="3" customFormat="1" ht="15" x14ac:dyDescent="0.2">
      <c r="A123" s="11" t="s">
        <v>250</v>
      </c>
      <c r="B123" s="22" t="s">
        <v>271</v>
      </c>
      <c r="C123" s="70">
        <v>1580</v>
      </c>
      <c r="D123" s="70">
        <v>1536</v>
      </c>
    </row>
    <row r="124" spans="1:4" s="3" customFormat="1" ht="15" x14ac:dyDescent="0.2">
      <c r="A124" s="11" t="s">
        <v>251</v>
      </c>
      <c r="B124" s="22" t="s">
        <v>272</v>
      </c>
      <c r="C124" s="70">
        <v>1580</v>
      </c>
      <c r="D124" s="70">
        <v>1513</v>
      </c>
    </row>
    <row r="126" spans="1:4" x14ac:dyDescent="0.25">
      <c r="C126" s="5"/>
    </row>
    <row r="127" spans="1:4" x14ac:dyDescent="0.25">
      <c r="C127" s="5"/>
    </row>
    <row r="128" spans="1:4" x14ac:dyDescent="0.25">
      <c r="C128" s="7"/>
    </row>
  </sheetData>
  <mergeCells count="2">
    <mergeCell ref="A2:B2"/>
    <mergeCell ref="A3:B3"/>
  </mergeCells>
  <hyperlinks>
    <hyperlink ref="C3" r:id="rId1" xr:uid="{A39DB66C-2821-4998-8147-9E33CA5FDE98}"/>
    <hyperlink ref="D3" r:id="rId2" location="technische-daten" xr:uid="{F58A5CFA-B673-4406-95E4-C7AF7D3AAEF7}"/>
  </hyperlinks>
  <pageMargins left="0.7" right="0.7" top="0.78740157499999996" bottom="0.78740157499999996" header="0.3" footer="0.3"/>
  <pageSetup paperSize="9" orientation="portrait" horizontalDpi="4294967293"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7CEA7-F1FF-48F9-8BE4-8239344E5B86}">
  <dimension ref="A2:E60"/>
  <sheetViews>
    <sheetView zoomScale="70" zoomScaleNormal="70" workbookViewId="0">
      <selection activeCell="E9" sqref="D3:E9"/>
    </sheetView>
  </sheetViews>
  <sheetFormatPr baseColWidth="10" defaultColWidth="12" defaultRowHeight="15" x14ac:dyDescent="0.2"/>
  <cols>
    <col min="1" max="1" width="101.85546875" style="37" customWidth="1"/>
    <col min="2" max="3" width="101.85546875" style="38" customWidth="1"/>
    <col min="4" max="4" width="22" style="3" customWidth="1"/>
    <col min="5" max="5" width="68.28515625" style="3" customWidth="1"/>
    <col min="6" max="16384" width="12" style="3"/>
  </cols>
  <sheetData>
    <row r="2" spans="1:5" s="36" customFormat="1" ht="16.5" thickBot="1" x14ac:dyDescent="0.3">
      <c r="A2" s="34" t="s">
        <v>191</v>
      </c>
      <c r="B2" s="35" t="s">
        <v>192</v>
      </c>
      <c r="C2" s="35" t="s">
        <v>193</v>
      </c>
    </row>
    <row r="3" spans="1:5" ht="15.75" x14ac:dyDescent="0.25">
      <c r="D3" s="91" t="s">
        <v>252</v>
      </c>
      <c r="E3" s="92" t="s">
        <v>253</v>
      </c>
    </row>
    <row r="4" spans="1:5" x14ac:dyDescent="0.2">
      <c r="D4" s="93" t="s">
        <v>56</v>
      </c>
      <c r="E4" s="94" t="s">
        <v>254</v>
      </c>
    </row>
    <row r="5" spans="1:5" x14ac:dyDescent="0.2">
      <c r="D5" s="93" t="s">
        <v>255</v>
      </c>
      <c r="E5" s="94" t="s">
        <v>256</v>
      </c>
    </row>
    <row r="6" spans="1:5" x14ac:dyDescent="0.2">
      <c r="D6" s="93" t="s">
        <v>257</v>
      </c>
      <c r="E6" s="94" t="s">
        <v>258</v>
      </c>
    </row>
    <row r="7" spans="1:5" x14ac:dyDescent="0.2">
      <c r="D7" s="93" t="s">
        <v>259</v>
      </c>
      <c r="E7" s="94" t="s">
        <v>260</v>
      </c>
    </row>
    <row r="8" spans="1:5" ht="15" customHeight="1" x14ac:dyDescent="0.2">
      <c r="D8" s="93" t="s">
        <v>261</v>
      </c>
      <c r="E8" s="94" t="s">
        <v>262</v>
      </c>
    </row>
    <row r="9" spans="1:5" ht="15.75" thickBot="1" x14ac:dyDescent="0.25">
      <c r="D9" s="95" t="s">
        <v>263</v>
      </c>
      <c r="E9" s="96" t="s">
        <v>264</v>
      </c>
    </row>
    <row r="26" spans="1:3" ht="45" x14ac:dyDescent="0.2">
      <c r="C26" s="39" t="s">
        <v>194</v>
      </c>
    </row>
    <row r="31" spans="1:3" s="42" customFormat="1" ht="45" x14ac:dyDescent="0.2">
      <c r="A31" s="40" t="s">
        <v>194</v>
      </c>
      <c r="B31" s="41"/>
      <c r="C31" s="41"/>
    </row>
    <row r="53" spans="1:2" ht="45" x14ac:dyDescent="0.2">
      <c r="A53" s="40" t="s">
        <v>195</v>
      </c>
    </row>
    <row r="60" spans="1:2" ht="45" x14ac:dyDescent="0.2">
      <c r="B60" s="39" t="s">
        <v>194</v>
      </c>
    </row>
  </sheetData>
  <pageMargins left="0.7" right="0.7" top="0.78740157499999996" bottom="0.78740157499999996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vehicle database</vt:lpstr>
      <vt:lpstr>additional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Moritz Fundel</dc:creator>
  <cp:lastModifiedBy>Rosenberger, Nico</cp:lastModifiedBy>
  <dcterms:created xsi:type="dcterms:W3CDTF">2023-05-02T15:12:03Z</dcterms:created>
  <dcterms:modified xsi:type="dcterms:W3CDTF">2025-01-13T08:57:38Z</dcterms:modified>
</cp:coreProperties>
</file>